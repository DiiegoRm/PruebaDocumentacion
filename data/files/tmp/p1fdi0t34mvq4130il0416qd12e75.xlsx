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.diazh\OneDrive - Telefonica\EFICIENCIA\Ad-hoc\GestOT\"/>
    </mc:Choice>
  </mc:AlternateContent>
  <xr:revisionPtr revIDLastSave="512" documentId="8_{82854F91-1C6A-478F-9075-4BBE6A252B80}" xr6:coauthVersionLast="41" xr6:coauthVersionMax="44" xr10:uidLastSave="{9AFA6F90-F25C-4E09-AD9C-691E84A61A45}"/>
  <bookViews>
    <workbookView xWindow="1020" yWindow="-108" windowWidth="22128" windowHeight="13176" firstSheet="3" activeTab="3" xr2:uid="{DF7D96F8-DF6F-48C8-B512-E059868C7DBC}"/>
  </bookViews>
  <sheets>
    <sheet name="INTERNO" sheetId="2" state="hidden" r:id="rId1"/>
    <sheet name="TB_1" sheetId="3" state="hidden" r:id="rId2"/>
    <sheet name="HV Equipos" sheetId="4" state="hidden" r:id="rId3"/>
    <sheet name="Equipos medición" sheetId="1" r:id="rId4"/>
    <sheet name="Marca" sheetId="5" state="hidden" r:id="rId5"/>
    <sheet name="Funcionalidad" sheetId="6" state="hidden" r:id="rId6"/>
    <sheet name="Funcionalidad x Tipo red" sheetId="7" state="hidden" r:id="rId7"/>
  </sheets>
  <externalReferences>
    <externalReference r:id="rId8"/>
  </externalReferences>
  <definedNames>
    <definedName name="_xlnm._FilterDatabase" localSheetId="2" hidden="1">'HV Equipos'!$A$1:$O$5</definedName>
    <definedName name="_xlnm._FilterDatabase" localSheetId="0" hidden="1">INTERNO!$A$1:$B$5</definedName>
    <definedName name="SegmentaciónDeDatos_DEPARTAMENTO">#N/A</definedName>
    <definedName name="SegmentaciónDeDatos_EECC">#N/A</definedName>
    <definedName name="SegmentaciónDeDatos_FUNCIONALIDAD">#N/A</definedName>
  </definedNames>
  <calcPr calcId="191029"/>
  <pivotCaches>
    <pivotCache cacheId="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M107" i="1" l="1"/>
  <c r="M106" i="1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L2" i="4" l="1"/>
  <c r="L5" i="4"/>
  <c r="N5" i="4" s="1"/>
  <c r="O5" i="4" l="1"/>
  <c r="M5" i="4" s="1"/>
  <c r="L4" i="4"/>
  <c r="O4" i="4" s="1"/>
  <c r="M4" i="4" s="1"/>
  <c r="N4" i="4" l="1"/>
  <c r="L3" i="4"/>
  <c r="N3" i="4" s="1"/>
  <c r="M210" i="1"/>
  <c r="O210" i="1" s="1"/>
  <c r="O3" i="4" l="1"/>
  <c r="M3" i="4" s="1"/>
  <c r="P210" i="1"/>
  <c r="N210" i="1" s="1"/>
  <c r="M220" i="1" l="1"/>
  <c r="P220" i="1" s="1"/>
  <c r="N220" i="1" s="1"/>
  <c r="O220" i="1" l="1"/>
  <c r="O4" i="3"/>
  <c r="P4" i="3"/>
  <c r="R4" i="3"/>
  <c r="Q4" i="3" l="1"/>
  <c r="S4" i="3" s="1"/>
  <c r="M6" i="1" l="1"/>
  <c r="O6" i="1" s="1"/>
  <c r="M7" i="1"/>
  <c r="O7" i="1" s="1"/>
  <c r="M8" i="1"/>
  <c r="O8" i="1" s="1"/>
  <c r="M9" i="1"/>
  <c r="M10" i="1"/>
  <c r="O10" i="1" s="1"/>
  <c r="M11" i="1"/>
  <c r="P11" i="1" s="1"/>
  <c r="N11" i="1" s="1"/>
  <c r="M12" i="1"/>
  <c r="O12" i="1" s="1"/>
  <c r="M13" i="1"/>
  <c r="M14" i="1"/>
  <c r="O14" i="1" s="1"/>
  <c r="M15" i="1"/>
  <c r="P15" i="1" s="1"/>
  <c r="N15" i="1" s="1"/>
  <c r="M16" i="1"/>
  <c r="P16" i="1" s="1"/>
  <c r="N16" i="1" s="1"/>
  <c r="M17" i="1"/>
  <c r="P17" i="1" s="1"/>
  <c r="N17" i="1" s="1"/>
  <c r="M18" i="1"/>
  <c r="O18" i="1" s="1"/>
  <c r="M19" i="1"/>
  <c r="O19" i="1" s="1"/>
  <c r="M20" i="1"/>
  <c r="M21" i="1"/>
  <c r="P21" i="1" s="1"/>
  <c r="N21" i="1" s="1"/>
  <c r="M22" i="1"/>
  <c r="O22" i="1" s="1"/>
  <c r="M23" i="1"/>
  <c r="O23" i="1" s="1"/>
  <c r="M24" i="1"/>
  <c r="M25" i="1"/>
  <c r="O25" i="1" s="1"/>
  <c r="M26" i="1"/>
  <c r="P26" i="1" s="1"/>
  <c r="N26" i="1" s="1"/>
  <c r="M27" i="1"/>
  <c r="P27" i="1" s="1"/>
  <c r="N27" i="1" s="1"/>
  <c r="M28" i="1"/>
  <c r="M29" i="1"/>
  <c r="O29" i="1" s="1"/>
  <c r="M30" i="1"/>
  <c r="O30" i="1" s="1"/>
  <c r="M31" i="1"/>
  <c r="P31" i="1" s="1"/>
  <c r="N31" i="1" s="1"/>
  <c r="M32" i="1"/>
  <c r="M33" i="1"/>
  <c r="O33" i="1" s="1"/>
  <c r="M34" i="1"/>
  <c r="P34" i="1" s="1"/>
  <c r="N34" i="1" s="1"/>
  <c r="M35" i="1"/>
  <c r="O35" i="1" s="1"/>
  <c r="M36" i="1"/>
  <c r="M37" i="1"/>
  <c r="P37" i="1" s="1"/>
  <c r="N37" i="1" s="1"/>
  <c r="M38" i="1"/>
  <c r="P38" i="1" s="1"/>
  <c r="N38" i="1" s="1"/>
  <c r="M39" i="1"/>
  <c r="O39" i="1" s="1"/>
  <c r="M40" i="1"/>
  <c r="M41" i="1"/>
  <c r="O41" i="1" s="1"/>
  <c r="M42" i="1"/>
  <c r="P42" i="1" s="1"/>
  <c r="N42" i="1" s="1"/>
  <c r="M43" i="1"/>
  <c r="P43" i="1" s="1"/>
  <c r="N43" i="1" s="1"/>
  <c r="M44" i="1"/>
  <c r="M45" i="1"/>
  <c r="O45" i="1" s="1"/>
  <c r="M46" i="1"/>
  <c r="P46" i="1" s="1"/>
  <c r="N46" i="1" s="1"/>
  <c r="M47" i="1"/>
  <c r="O47" i="1" s="1"/>
  <c r="M48" i="1"/>
  <c r="M49" i="1"/>
  <c r="P49" i="1" s="1"/>
  <c r="N49" i="1" s="1"/>
  <c r="M50" i="1"/>
  <c r="O50" i="1" s="1"/>
  <c r="M51" i="1"/>
  <c r="O51" i="1" s="1"/>
  <c r="M52" i="1"/>
  <c r="M105" i="1"/>
  <c r="P105" i="1" s="1"/>
  <c r="N105" i="1" s="1"/>
  <c r="M53" i="1"/>
  <c r="O53" i="1" s="1"/>
  <c r="M54" i="1"/>
  <c r="O54" i="1" s="1"/>
  <c r="M55" i="1"/>
  <c r="M56" i="1"/>
  <c r="O56" i="1" s="1"/>
  <c r="M57" i="1"/>
  <c r="O57" i="1" s="1"/>
  <c r="M58" i="1"/>
  <c r="O58" i="1" s="1"/>
  <c r="M59" i="1"/>
  <c r="M60" i="1"/>
  <c r="O60" i="1" s="1"/>
  <c r="M61" i="1"/>
  <c r="O61" i="1" s="1"/>
  <c r="M62" i="1"/>
  <c r="P62" i="1" s="1"/>
  <c r="N62" i="1" s="1"/>
  <c r="M63" i="1"/>
  <c r="M64" i="1"/>
  <c r="P64" i="1" s="1"/>
  <c r="N64" i="1" s="1"/>
  <c r="M65" i="1"/>
  <c r="O65" i="1" s="1"/>
  <c r="M66" i="1"/>
  <c r="P66" i="1" s="1"/>
  <c r="N66" i="1" s="1"/>
  <c r="M67" i="1"/>
  <c r="M68" i="1"/>
  <c r="O68" i="1" s="1"/>
  <c r="M69" i="1"/>
  <c r="O69" i="1" s="1"/>
  <c r="M70" i="1"/>
  <c r="O70" i="1" s="1"/>
  <c r="M71" i="1"/>
  <c r="M72" i="1"/>
  <c r="O72" i="1" s="1"/>
  <c r="M73" i="1"/>
  <c r="P73" i="1" s="1"/>
  <c r="N73" i="1" s="1"/>
  <c r="M74" i="1"/>
  <c r="O74" i="1" s="1"/>
  <c r="M75" i="1"/>
  <c r="M76" i="1"/>
  <c r="O76" i="1" s="1"/>
  <c r="M77" i="1"/>
  <c r="O77" i="1" s="1"/>
  <c r="M78" i="1"/>
  <c r="P78" i="1" s="1"/>
  <c r="N78" i="1" s="1"/>
  <c r="M79" i="1"/>
  <c r="M80" i="1"/>
  <c r="O80" i="1" s="1"/>
  <c r="M81" i="1"/>
  <c r="O81" i="1" s="1"/>
  <c r="M82" i="1"/>
  <c r="O82" i="1" s="1"/>
  <c r="M83" i="1"/>
  <c r="M84" i="1"/>
  <c r="O84" i="1" s="1"/>
  <c r="M85" i="1"/>
  <c r="O85" i="1" s="1"/>
  <c r="M86" i="1"/>
  <c r="O86" i="1" s="1"/>
  <c r="M87" i="1"/>
  <c r="M88" i="1"/>
  <c r="P88" i="1" s="1"/>
  <c r="N88" i="1" s="1"/>
  <c r="M89" i="1"/>
  <c r="P89" i="1" s="1"/>
  <c r="N89" i="1" s="1"/>
  <c r="M90" i="1"/>
  <c r="P90" i="1" s="1"/>
  <c r="N90" i="1" s="1"/>
  <c r="M91" i="1"/>
  <c r="M92" i="1"/>
  <c r="O92" i="1" s="1"/>
  <c r="M93" i="1"/>
  <c r="O93" i="1" s="1"/>
  <c r="M94" i="1"/>
  <c r="P94" i="1" s="1"/>
  <c r="N94" i="1" s="1"/>
  <c r="M95" i="1"/>
  <c r="M96" i="1"/>
  <c r="O96" i="1" s="1"/>
  <c r="M97" i="1"/>
  <c r="O97" i="1" s="1"/>
  <c r="M98" i="1"/>
  <c r="O98" i="1" s="1"/>
  <c r="M99" i="1"/>
  <c r="M100" i="1"/>
  <c r="P100" i="1" s="1"/>
  <c r="N100" i="1" s="1"/>
  <c r="M101" i="1"/>
  <c r="P101" i="1" s="1"/>
  <c r="N101" i="1" s="1"/>
  <c r="M102" i="1"/>
  <c r="P102" i="1" s="1"/>
  <c r="N102" i="1" s="1"/>
  <c r="M103" i="1"/>
  <c r="M104" i="1"/>
  <c r="O104" i="1" s="1"/>
  <c r="P106" i="1"/>
  <c r="N106" i="1" s="1"/>
  <c r="P107" i="1"/>
  <c r="N107" i="1" s="1"/>
  <c r="M108" i="1"/>
  <c r="M109" i="1"/>
  <c r="O109" i="1" s="1"/>
  <c r="M110" i="1"/>
  <c r="P110" i="1" s="1"/>
  <c r="N110" i="1" s="1"/>
  <c r="M111" i="1"/>
  <c r="O111" i="1" s="1"/>
  <c r="M112" i="1"/>
  <c r="M113" i="1"/>
  <c r="O113" i="1" s="1"/>
  <c r="M114" i="1"/>
  <c r="O114" i="1" s="1"/>
  <c r="M115" i="1"/>
  <c r="P115" i="1" s="1"/>
  <c r="N115" i="1" s="1"/>
  <c r="M116" i="1"/>
  <c r="M117" i="1"/>
  <c r="O117" i="1" s="1"/>
  <c r="M118" i="1"/>
  <c r="O118" i="1" s="1"/>
  <c r="M119" i="1"/>
  <c r="O119" i="1" s="1"/>
  <c r="M120" i="1"/>
  <c r="M121" i="1"/>
  <c r="P121" i="1" s="1"/>
  <c r="N121" i="1" s="1"/>
  <c r="M122" i="1"/>
  <c r="O122" i="1" s="1"/>
  <c r="M123" i="1"/>
  <c r="P123" i="1" s="1"/>
  <c r="N123" i="1" s="1"/>
  <c r="M124" i="1"/>
  <c r="M125" i="1"/>
  <c r="O125" i="1" s="1"/>
  <c r="M126" i="1"/>
  <c r="O126" i="1" s="1"/>
  <c r="M127" i="1"/>
  <c r="P127" i="1" s="1"/>
  <c r="N127" i="1" s="1"/>
  <c r="M128" i="1"/>
  <c r="O128" i="1" s="1"/>
  <c r="M129" i="1"/>
  <c r="O129" i="1" s="1"/>
  <c r="M130" i="1"/>
  <c r="O130" i="1" s="1"/>
  <c r="M131" i="1"/>
  <c r="M132" i="1"/>
  <c r="O132" i="1" s="1"/>
  <c r="M133" i="1"/>
  <c r="O133" i="1" s="1"/>
  <c r="M134" i="1"/>
  <c r="O134" i="1" s="1"/>
  <c r="M135" i="1"/>
  <c r="M136" i="1"/>
  <c r="O136" i="1" s="1"/>
  <c r="M137" i="1"/>
  <c r="P137" i="1" s="1"/>
  <c r="N137" i="1" s="1"/>
  <c r="M138" i="1"/>
  <c r="P138" i="1" s="1"/>
  <c r="N138" i="1" s="1"/>
  <c r="M139" i="1"/>
  <c r="M140" i="1"/>
  <c r="O140" i="1" s="1"/>
  <c r="M141" i="1"/>
  <c r="O141" i="1" s="1"/>
  <c r="M142" i="1"/>
  <c r="P142" i="1" s="1"/>
  <c r="N142" i="1" s="1"/>
  <c r="M143" i="1"/>
  <c r="M144" i="1"/>
  <c r="O144" i="1" s="1"/>
  <c r="M145" i="1"/>
  <c r="P145" i="1" s="1"/>
  <c r="N145" i="1" s="1"/>
  <c r="M146" i="1"/>
  <c r="O146" i="1" s="1"/>
  <c r="M147" i="1"/>
  <c r="M148" i="1"/>
  <c r="O148" i="1" s="1"/>
  <c r="M149" i="1"/>
  <c r="O149" i="1" s="1"/>
  <c r="M150" i="1"/>
  <c r="O150" i="1" s="1"/>
  <c r="M151" i="1"/>
  <c r="M152" i="1"/>
  <c r="O152" i="1" s="1"/>
  <c r="M153" i="1"/>
  <c r="P153" i="1" s="1"/>
  <c r="N153" i="1" s="1"/>
  <c r="M154" i="1"/>
  <c r="M155" i="1"/>
  <c r="O155" i="1" s="1"/>
  <c r="M156" i="1"/>
  <c r="O156" i="1" s="1"/>
  <c r="M157" i="1"/>
  <c r="P157" i="1" s="1"/>
  <c r="N157" i="1" s="1"/>
  <c r="M158" i="1"/>
  <c r="M159" i="1"/>
  <c r="O159" i="1" s="1"/>
  <c r="M160" i="1"/>
  <c r="O160" i="1" s="1"/>
  <c r="M161" i="1"/>
  <c r="O161" i="1" s="1"/>
  <c r="M162" i="1"/>
  <c r="M163" i="1"/>
  <c r="O163" i="1" s="1"/>
  <c r="M164" i="1"/>
  <c r="O164" i="1" s="1"/>
  <c r="M165" i="1"/>
  <c r="O165" i="1" s="1"/>
  <c r="M166" i="1"/>
  <c r="M167" i="1"/>
  <c r="O167" i="1" s="1"/>
  <c r="M168" i="1"/>
  <c r="P168" i="1" s="1"/>
  <c r="N168" i="1" s="1"/>
  <c r="M169" i="1"/>
  <c r="P169" i="1" s="1"/>
  <c r="N169" i="1" s="1"/>
  <c r="M170" i="1"/>
  <c r="M171" i="1"/>
  <c r="O171" i="1" s="1"/>
  <c r="M172" i="1"/>
  <c r="O172" i="1" s="1"/>
  <c r="M173" i="1"/>
  <c r="M174" i="1"/>
  <c r="O174" i="1" s="1"/>
  <c r="M175" i="1"/>
  <c r="O175" i="1" s="1"/>
  <c r="M176" i="1"/>
  <c r="O176" i="1" s="1"/>
  <c r="M177" i="1"/>
  <c r="M178" i="1"/>
  <c r="O178" i="1" s="1"/>
  <c r="M179" i="1"/>
  <c r="P179" i="1" s="1"/>
  <c r="N179" i="1" s="1"/>
  <c r="M180" i="1"/>
  <c r="O180" i="1" s="1"/>
  <c r="M181" i="1"/>
  <c r="M182" i="1"/>
  <c r="O182" i="1" s="1"/>
  <c r="M183" i="1"/>
  <c r="O183" i="1" s="1"/>
  <c r="M184" i="1"/>
  <c r="P184" i="1" s="1"/>
  <c r="N184" i="1" s="1"/>
  <c r="M185" i="1"/>
  <c r="M186" i="1"/>
  <c r="O186" i="1" s="1"/>
  <c r="M187" i="1"/>
  <c r="P187" i="1" s="1"/>
  <c r="N187" i="1" s="1"/>
  <c r="M188" i="1"/>
  <c r="O188" i="1" s="1"/>
  <c r="M189" i="1"/>
  <c r="M190" i="1"/>
  <c r="O190" i="1" s="1"/>
  <c r="M191" i="1"/>
  <c r="O191" i="1" s="1"/>
  <c r="M192" i="1"/>
  <c r="O192" i="1" s="1"/>
  <c r="M193" i="1"/>
  <c r="M194" i="1"/>
  <c r="O194" i="1" s="1"/>
  <c r="M195" i="1"/>
  <c r="O195" i="1" s="1"/>
  <c r="M196" i="1"/>
  <c r="O196" i="1" s="1"/>
  <c r="M197" i="1"/>
  <c r="M198" i="1"/>
  <c r="O198" i="1" s="1"/>
  <c r="M199" i="1"/>
  <c r="O199" i="1" s="1"/>
  <c r="M200" i="1"/>
  <c r="P200" i="1" s="1"/>
  <c r="N200" i="1" s="1"/>
  <c r="M201" i="1"/>
  <c r="M202" i="1"/>
  <c r="O202" i="1" s="1"/>
  <c r="M203" i="1"/>
  <c r="O203" i="1" s="1"/>
  <c r="M204" i="1"/>
  <c r="O204" i="1" s="1"/>
  <c r="M205" i="1"/>
  <c r="M206" i="1"/>
  <c r="O206" i="1" s="1"/>
  <c r="M207" i="1"/>
  <c r="O207" i="1" s="1"/>
  <c r="M208" i="1"/>
  <c r="M209" i="1"/>
  <c r="O209" i="1" s="1"/>
  <c r="M211" i="1"/>
  <c r="P211" i="1" s="1"/>
  <c r="N211" i="1" s="1"/>
  <c r="M212" i="1"/>
  <c r="O212" i="1" s="1"/>
  <c r="M213" i="1"/>
  <c r="M214" i="1"/>
  <c r="O214" i="1" s="1"/>
  <c r="M215" i="1"/>
  <c r="P215" i="1" s="1"/>
  <c r="N215" i="1" s="1"/>
  <c r="M216" i="1"/>
  <c r="M217" i="1"/>
  <c r="O217" i="1" s="1"/>
  <c r="M218" i="1"/>
  <c r="P218" i="1" s="1"/>
  <c r="N218" i="1" s="1"/>
  <c r="M219" i="1"/>
  <c r="O219" i="1" s="1"/>
  <c r="M227" i="1"/>
  <c r="O227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P239" i="1" s="1"/>
  <c r="N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O265" i="1" s="1"/>
  <c r="M266" i="1"/>
  <c r="O266" i="1" s="1"/>
  <c r="M267" i="1"/>
  <c r="O267" i="1" s="1"/>
  <c r="M268" i="1"/>
  <c r="O268" i="1" s="1"/>
  <c r="M269" i="1"/>
  <c r="O269" i="1" s="1"/>
  <c r="M270" i="1"/>
  <c r="O270" i="1" s="1"/>
  <c r="M271" i="1"/>
  <c r="P271" i="1" s="1"/>
  <c r="N271" i="1" s="1"/>
  <c r="M272" i="1"/>
  <c r="O272" i="1" s="1"/>
  <c r="M297" i="1"/>
  <c r="O297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5" i="1"/>
  <c r="O5" i="1" s="1"/>
  <c r="M4" i="1"/>
  <c r="P4" i="1" s="1"/>
  <c r="N4" i="1" s="1"/>
  <c r="M3" i="1"/>
  <c r="O3" i="1" s="1"/>
  <c r="M2" i="1"/>
  <c r="O2" i="1" s="1"/>
  <c r="O15" i="1" l="1"/>
  <c r="O105" i="1"/>
  <c r="P22" i="1"/>
  <c r="N22" i="1" s="1"/>
  <c r="P10" i="1"/>
  <c r="N10" i="1" s="1"/>
  <c r="P53" i="1"/>
  <c r="N53" i="1" s="1"/>
  <c r="P65" i="1"/>
  <c r="N65" i="1" s="1"/>
  <c r="P76" i="1"/>
  <c r="N76" i="1" s="1"/>
  <c r="P8" i="1"/>
  <c r="N8" i="1" s="1"/>
  <c r="P128" i="1"/>
  <c r="N128" i="1" s="1"/>
  <c r="P104" i="1"/>
  <c r="N104" i="1" s="1"/>
  <c r="P33" i="1"/>
  <c r="N33" i="1" s="1"/>
  <c r="O100" i="1"/>
  <c r="P296" i="1"/>
  <c r="N296" i="1" s="1"/>
  <c r="P186" i="1"/>
  <c r="N186" i="1" s="1"/>
  <c r="P155" i="1"/>
  <c r="N155" i="1" s="1"/>
  <c r="P241" i="1"/>
  <c r="N241" i="1" s="1"/>
  <c r="P174" i="1"/>
  <c r="N174" i="1" s="1"/>
  <c r="P144" i="1"/>
  <c r="N144" i="1" s="1"/>
  <c r="P125" i="1"/>
  <c r="N125" i="1" s="1"/>
  <c r="P92" i="1"/>
  <c r="N92" i="1" s="1"/>
  <c r="P68" i="1"/>
  <c r="N68" i="1" s="1"/>
  <c r="O88" i="1"/>
  <c r="O49" i="1"/>
  <c r="O21" i="1"/>
  <c r="P217" i="1"/>
  <c r="N217" i="1" s="1"/>
  <c r="P171" i="1"/>
  <c r="N171" i="1" s="1"/>
  <c r="P136" i="1"/>
  <c r="N136" i="1" s="1"/>
  <c r="P117" i="1"/>
  <c r="N117" i="1" s="1"/>
  <c r="P6" i="1"/>
  <c r="N6" i="1" s="1"/>
  <c r="O37" i="1"/>
  <c r="P163" i="1"/>
  <c r="N163" i="1" s="1"/>
  <c r="P132" i="1"/>
  <c r="N132" i="1" s="1"/>
  <c r="P113" i="1"/>
  <c r="N113" i="1" s="1"/>
  <c r="P80" i="1"/>
  <c r="N80" i="1" s="1"/>
  <c r="P56" i="1"/>
  <c r="N56" i="1" s="1"/>
  <c r="P41" i="1"/>
  <c r="N41" i="1" s="1"/>
  <c r="P14" i="1"/>
  <c r="N14" i="1" s="1"/>
  <c r="O64" i="1"/>
  <c r="P23" i="1"/>
  <c r="N23" i="1" s="1"/>
  <c r="P284" i="1"/>
  <c r="N284" i="1" s="1"/>
  <c r="P160" i="1"/>
  <c r="N160" i="1" s="1"/>
  <c r="P133" i="1"/>
  <c r="N133" i="1" s="1"/>
  <c r="P306" i="1"/>
  <c r="N306" i="1" s="1"/>
  <c r="P231" i="1"/>
  <c r="N231" i="1" s="1"/>
  <c r="P258" i="1"/>
  <c r="N258" i="1" s="1"/>
  <c r="P263" i="1"/>
  <c r="N263" i="1" s="1"/>
  <c r="P276" i="1"/>
  <c r="N276" i="1" s="1"/>
  <c r="P257" i="1"/>
  <c r="N257" i="1" s="1"/>
  <c r="P230" i="1"/>
  <c r="N230" i="1" s="1"/>
  <c r="P198" i="1"/>
  <c r="N198" i="1" s="1"/>
  <c r="O121" i="1"/>
  <c r="P265" i="1"/>
  <c r="N265" i="1" s="1"/>
  <c r="P245" i="1"/>
  <c r="N245" i="1" s="1"/>
  <c r="P221" i="1"/>
  <c r="N221" i="1" s="1"/>
  <c r="P126" i="1"/>
  <c r="N126" i="1" s="1"/>
  <c r="P77" i="1"/>
  <c r="N77" i="1" s="1"/>
  <c r="P318" i="1"/>
  <c r="N318" i="1" s="1"/>
  <c r="P39" i="1"/>
  <c r="N39" i="1" s="1"/>
  <c r="P311" i="1"/>
  <c r="N311" i="1" s="1"/>
  <c r="P203" i="1"/>
  <c r="N203" i="1" s="1"/>
  <c r="P172" i="1"/>
  <c r="N172" i="1" s="1"/>
  <c r="O16" i="1"/>
  <c r="P305" i="1"/>
  <c r="N305" i="1" s="1"/>
  <c r="P146" i="1"/>
  <c r="N146" i="1" s="1"/>
  <c r="O115" i="1"/>
  <c r="O66" i="1"/>
  <c r="P249" i="1"/>
  <c r="N249" i="1" s="1"/>
  <c r="P259" i="1"/>
  <c r="N259" i="1" s="1"/>
  <c r="P314" i="1"/>
  <c r="N314" i="1" s="1"/>
  <c r="P293" i="1"/>
  <c r="N293" i="1" s="1"/>
  <c r="P183" i="1"/>
  <c r="N183" i="1" s="1"/>
  <c r="P61" i="1"/>
  <c r="N61" i="1" s="1"/>
  <c r="P30" i="1"/>
  <c r="N30" i="1" s="1"/>
  <c r="O11" i="1"/>
  <c r="P313" i="1"/>
  <c r="N313" i="1" s="1"/>
  <c r="P302" i="1"/>
  <c r="N302" i="1" s="1"/>
  <c r="P288" i="1"/>
  <c r="N288" i="1" s="1"/>
  <c r="P297" i="1"/>
  <c r="N297" i="1" s="1"/>
  <c r="P262" i="1"/>
  <c r="N262" i="1" s="1"/>
  <c r="P250" i="1"/>
  <c r="N250" i="1" s="1"/>
  <c r="P237" i="1"/>
  <c r="N237" i="1" s="1"/>
  <c r="P226" i="1"/>
  <c r="N226" i="1" s="1"/>
  <c r="P209" i="1"/>
  <c r="N209" i="1" s="1"/>
  <c r="P194" i="1"/>
  <c r="N194" i="1" s="1"/>
  <c r="P182" i="1"/>
  <c r="N182" i="1" s="1"/>
  <c r="P164" i="1"/>
  <c r="N164" i="1" s="1"/>
  <c r="P152" i="1"/>
  <c r="N152" i="1" s="1"/>
  <c r="P141" i="1"/>
  <c r="N141" i="1" s="1"/>
  <c r="P129" i="1"/>
  <c r="N129" i="1" s="1"/>
  <c r="P118" i="1"/>
  <c r="N118" i="1" s="1"/>
  <c r="P85" i="1"/>
  <c r="N85" i="1" s="1"/>
  <c r="P69" i="1"/>
  <c r="N69" i="1" s="1"/>
  <c r="P60" i="1"/>
  <c r="N60" i="1" s="1"/>
  <c r="P50" i="1"/>
  <c r="N50" i="1" s="1"/>
  <c r="P29" i="1"/>
  <c r="N29" i="1" s="1"/>
  <c r="P7" i="1"/>
  <c r="N7" i="1" s="1"/>
  <c r="O34" i="1"/>
  <c r="O17" i="1"/>
  <c r="P298" i="1"/>
  <c r="N298" i="1" s="1"/>
  <c r="P285" i="1"/>
  <c r="N285" i="1" s="1"/>
  <c r="P270" i="1"/>
  <c r="N270" i="1" s="1"/>
  <c r="P235" i="1"/>
  <c r="N235" i="1" s="1"/>
  <c r="P222" i="1"/>
  <c r="N222" i="1" s="1"/>
  <c r="P191" i="1"/>
  <c r="N191" i="1" s="1"/>
  <c r="P149" i="1"/>
  <c r="N149" i="1" s="1"/>
  <c r="P97" i="1"/>
  <c r="N97" i="1" s="1"/>
  <c r="O101" i="1"/>
  <c r="P317" i="1"/>
  <c r="N317" i="1" s="1"/>
  <c r="P309" i="1"/>
  <c r="N309" i="1" s="1"/>
  <c r="P301" i="1"/>
  <c r="N301" i="1" s="1"/>
  <c r="P292" i="1"/>
  <c r="N292" i="1" s="1"/>
  <c r="P280" i="1"/>
  <c r="N280" i="1" s="1"/>
  <c r="P269" i="1"/>
  <c r="N269" i="1" s="1"/>
  <c r="P261" i="1"/>
  <c r="N261" i="1" s="1"/>
  <c r="P253" i="1"/>
  <c r="N253" i="1" s="1"/>
  <c r="P242" i="1"/>
  <c r="N242" i="1" s="1"/>
  <c r="P234" i="1"/>
  <c r="N234" i="1" s="1"/>
  <c r="P225" i="1"/>
  <c r="N225" i="1" s="1"/>
  <c r="P214" i="1"/>
  <c r="N214" i="1" s="1"/>
  <c r="P202" i="1"/>
  <c r="N202" i="1" s="1"/>
  <c r="P190" i="1"/>
  <c r="N190" i="1" s="1"/>
  <c r="P178" i="1"/>
  <c r="N178" i="1" s="1"/>
  <c r="P167" i="1"/>
  <c r="N167" i="1" s="1"/>
  <c r="P159" i="1"/>
  <c r="N159" i="1" s="1"/>
  <c r="P148" i="1"/>
  <c r="N148" i="1" s="1"/>
  <c r="P140" i="1"/>
  <c r="N140" i="1" s="1"/>
  <c r="P109" i="1"/>
  <c r="N109" i="1" s="1"/>
  <c r="P96" i="1"/>
  <c r="N96" i="1" s="1"/>
  <c r="P84" i="1"/>
  <c r="N84" i="1" s="1"/>
  <c r="P72" i="1"/>
  <c r="N72" i="1" s="1"/>
  <c r="P45" i="1"/>
  <c r="N45" i="1" s="1"/>
  <c r="P25" i="1"/>
  <c r="N25" i="1" s="1"/>
  <c r="P207" i="1"/>
  <c r="N207" i="1" s="1"/>
  <c r="P161" i="1"/>
  <c r="N161" i="1" s="1"/>
  <c r="O127" i="1"/>
  <c r="P278" i="1"/>
  <c r="N278" i="1" s="1"/>
  <c r="P243" i="1"/>
  <c r="N243" i="1" s="1"/>
  <c r="P165" i="1"/>
  <c r="N165" i="1" s="1"/>
  <c r="P98" i="1"/>
  <c r="N98" i="1" s="1"/>
  <c r="O90" i="1"/>
  <c r="O78" i="1"/>
  <c r="P290" i="1"/>
  <c r="N290" i="1" s="1"/>
  <c r="P289" i="1"/>
  <c r="N289" i="1" s="1"/>
  <c r="P281" i="1"/>
  <c r="N281" i="1" s="1"/>
  <c r="P273" i="1"/>
  <c r="N273" i="1" s="1"/>
  <c r="P266" i="1"/>
  <c r="N266" i="1" s="1"/>
  <c r="P254" i="1"/>
  <c r="N254" i="1" s="1"/>
  <c r="P238" i="1"/>
  <c r="N238" i="1" s="1"/>
  <c r="P232" i="1"/>
  <c r="N232" i="1" s="1"/>
  <c r="P206" i="1"/>
  <c r="N206" i="1" s="1"/>
  <c r="P175" i="1"/>
  <c r="N175" i="1" s="1"/>
  <c r="P156" i="1"/>
  <c r="N156" i="1" s="1"/>
  <c r="P130" i="1"/>
  <c r="N130" i="1" s="1"/>
  <c r="P114" i="1"/>
  <c r="N114" i="1" s="1"/>
  <c r="P93" i="1"/>
  <c r="N93" i="1" s="1"/>
  <c r="P54" i="1"/>
  <c r="N54" i="1" s="1"/>
  <c r="O137" i="1"/>
  <c r="O43" i="1"/>
  <c r="O102" i="1"/>
  <c r="P294" i="1"/>
  <c r="N294" i="1" s="1"/>
  <c r="P176" i="1"/>
  <c r="N176" i="1" s="1"/>
  <c r="P150" i="1"/>
  <c r="N150" i="1" s="1"/>
  <c r="P35" i="1"/>
  <c r="N35" i="1" s="1"/>
  <c r="O157" i="1"/>
  <c r="O107" i="1"/>
  <c r="O62" i="1"/>
  <c r="P274" i="1"/>
  <c r="N274" i="1" s="1"/>
  <c r="P134" i="1"/>
  <c r="N134" i="1" s="1"/>
  <c r="P82" i="1"/>
  <c r="N82" i="1" s="1"/>
  <c r="P307" i="1"/>
  <c r="N307" i="1" s="1"/>
  <c r="P247" i="1"/>
  <c r="N247" i="1" s="1"/>
  <c r="P228" i="1"/>
  <c r="N228" i="1" s="1"/>
  <c r="P204" i="1"/>
  <c r="N204" i="1" s="1"/>
  <c r="P119" i="1"/>
  <c r="N119" i="1" s="1"/>
  <c r="P86" i="1"/>
  <c r="N86" i="1" s="1"/>
  <c r="P70" i="1"/>
  <c r="N70" i="1" s="1"/>
  <c r="P51" i="1"/>
  <c r="N51" i="1" s="1"/>
  <c r="P19" i="1"/>
  <c r="N19" i="1" s="1"/>
  <c r="O27" i="1"/>
  <c r="O73" i="1"/>
  <c r="O38" i="1"/>
  <c r="O145" i="1"/>
  <c r="O110" i="1"/>
  <c r="O46" i="1"/>
  <c r="P310" i="1"/>
  <c r="N310" i="1" s="1"/>
  <c r="P277" i="1"/>
  <c r="N277" i="1" s="1"/>
  <c r="P246" i="1"/>
  <c r="N246" i="1" s="1"/>
  <c r="P195" i="1"/>
  <c r="N195" i="1" s="1"/>
  <c r="P81" i="1"/>
  <c r="N81" i="1" s="1"/>
  <c r="P18" i="1"/>
  <c r="N18" i="1" s="1"/>
  <c r="O168" i="1"/>
  <c r="O138" i="1"/>
  <c r="O106" i="1"/>
  <c r="O89" i="1"/>
  <c r="O42" i="1"/>
  <c r="O26" i="1"/>
  <c r="O218" i="1"/>
  <c r="O179" i="1"/>
  <c r="O211" i="1"/>
  <c r="O184" i="1"/>
  <c r="O215" i="1"/>
  <c r="O271" i="1"/>
  <c r="O239" i="1"/>
  <c r="O187" i="1"/>
  <c r="P299" i="1"/>
  <c r="N299" i="1" s="1"/>
  <c r="P267" i="1"/>
  <c r="N267" i="1" s="1"/>
  <c r="P74" i="1"/>
  <c r="N74" i="1" s="1"/>
  <c r="P58" i="1"/>
  <c r="N58" i="1" s="1"/>
  <c r="P12" i="1"/>
  <c r="N12" i="1" s="1"/>
  <c r="O153" i="1"/>
  <c r="O142" i="1"/>
  <c r="O123" i="1"/>
  <c r="O94" i="1"/>
  <c r="O31" i="1"/>
  <c r="P315" i="1"/>
  <c r="N315" i="1" s="1"/>
  <c r="P282" i="1"/>
  <c r="N282" i="1" s="1"/>
  <c r="P251" i="1"/>
  <c r="N251" i="1" s="1"/>
  <c r="P219" i="1"/>
  <c r="N219" i="1" s="1"/>
  <c r="P188" i="1"/>
  <c r="N188" i="1" s="1"/>
  <c r="P303" i="1"/>
  <c r="N303" i="1" s="1"/>
  <c r="P286" i="1"/>
  <c r="N286" i="1" s="1"/>
  <c r="P255" i="1"/>
  <c r="N255" i="1" s="1"/>
  <c r="P223" i="1"/>
  <c r="N223" i="1" s="1"/>
  <c r="P199" i="1"/>
  <c r="N199" i="1" s="1"/>
  <c r="P192" i="1"/>
  <c r="N192" i="1" s="1"/>
  <c r="P122" i="1"/>
  <c r="N122" i="1" s="1"/>
  <c r="P111" i="1"/>
  <c r="N111" i="1" s="1"/>
  <c r="P57" i="1"/>
  <c r="N57" i="1" s="1"/>
  <c r="P47" i="1"/>
  <c r="N47" i="1" s="1"/>
  <c r="O216" i="1"/>
  <c r="P216" i="1"/>
  <c r="N216" i="1" s="1"/>
  <c r="O208" i="1"/>
  <c r="P208" i="1"/>
  <c r="N208" i="1" s="1"/>
  <c r="O201" i="1"/>
  <c r="P201" i="1"/>
  <c r="N201" i="1" s="1"/>
  <c r="O193" i="1"/>
  <c r="P193" i="1"/>
  <c r="N193" i="1" s="1"/>
  <c r="O185" i="1"/>
  <c r="P185" i="1"/>
  <c r="N185" i="1" s="1"/>
  <c r="O177" i="1"/>
  <c r="P177" i="1"/>
  <c r="N177" i="1" s="1"/>
  <c r="O170" i="1"/>
  <c r="P170" i="1"/>
  <c r="N170" i="1" s="1"/>
  <c r="O162" i="1"/>
  <c r="P162" i="1"/>
  <c r="N162" i="1" s="1"/>
  <c r="O154" i="1"/>
  <c r="P154" i="1"/>
  <c r="N154" i="1" s="1"/>
  <c r="O147" i="1"/>
  <c r="P147" i="1"/>
  <c r="N147" i="1" s="1"/>
  <c r="O139" i="1"/>
  <c r="P139" i="1"/>
  <c r="N139" i="1" s="1"/>
  <c r="O131" i="1"/>
  <c r="P131" i="1"/>
  <c r="N131" i="1" s="1"/>
  <c r="O124" i="1"/>
  <c r="P124" i="1"/>
  <c r="N124" i="1" s="1"/>
  <c r="O116" i="1"/>
  <c r="P116" i="1"/>
  <c r="N116" i="1" s="1"/>
  <c r="O108" i="1"/>
  <c r="P108" i="1"/>
  <c r="N108" i="1" s="1"/>
  <c r="O99" i="1"/>
  <c r="P99" i="1"/>
  <c r="N99" i="1" s="1"/>
  <c r="O87" i="1"/>
  <c r="P87" i="1"/>
  <c r="N87" i="1" s="1"/>
  <c r="O79" i="1"/>
  <c r="P79" i="1"/>
  <c r="N79" i="1" s="1"/>
  <c r="O75" i="1"/>
  <c r="P75" i="1"/>
  <c r="N75" i="1" s="1"/>
  <c r="O67" i="1"/>
  <c r="P67" i="1"/>
  <c r="N67" i="1" s="1"/>
  <c r="O59" i="1"/>
  <c r="P59" i="1"/>
  <c r="N59" i="1" s="1"/>
  <c r="O52" i="1"/>
  <c r="P52" i="1"/>
  <c r="N52" i="1" s="1"/>
  <c r="O44" i="1"/>
  <c r="P44" i="1"/>
  <c r="N44" i="1" s="1"/>
  <c r="O36" i="1"/>
  <c r="P36" i="1"/>
  <c r="N36" i="1" s="1"/>
  <c r="O28" i="1"/>
  <c r="P28" i="1"/>
  <c r="N28" i="1" s="1"/>
  <c r="O20" i="1"/>
  <c r="P20" i="1"/>
  <c r="N20" i="1" s="1"/>
  <c r="O9" i="1"/>
  <c r="P9" i="1"/>
  <c r="N9" i="1" s="1"/>
  <c r="P212" i="1"/>
  <c r="N212" i="1" s="1"/>
  <c r="P196" i="1"/>
  <c r="N196" i="1" s="1"/>
  <c r="P180" i="1"/>
  <c r="N180" i="1" s="1"/>
  <c r="O200" i="1"/>
  <c r="O169" i="1"/>
  <c r="O213" i="1"/>
  <c r="P213" i="1"/>
  <c r="N213" i="1" s="1"/>
  <c r="O205" i="1"/>
  <c r="P205" i="1"/>
  <c r="N205" i="1" s="1"/>
  <c r="O197" i="1"/>
  <c r="P197" i="1"/>
  <c r="N197" i="1" s="1"/>
  <c r="O189" i="1"/>
  <c r="P189" i="1"/>
  <c r="N189" i="1" s="1"/>
  <c r="O181" i="1"/>
  <c r="P181" i="1"/>
  <c r="N181" i="1" s="1"/>
  <c r="O173" i="1"/>
  <c r="P173" i="1"/>
  <c r="N173" i="1" s="1"/>
  <c r="O166" i="1"/>
  <c r="P166" i="1"/>
  <c r="N166" i="1" s="1"/>
  <c r="O158" i="1"/>
  <c r="P158" i="1"/>
  <c r="N158" i="1" s="1"/>
  <c r="O151" i="1"/>
  <c r="P151" i="1"/>
  <c r="N151" i="1" s="1"/>
  <c r="O143" i="1"/>
  <c r="P143" i="1"/>
  <c r="N143" i="1" s="1"/>
  <c r="O135" i="1"/>
  <c r="P135" i="1"/>
  <c r="N135" i="1" s="1"/>
  <c r="O120" i="1"/>
  <c r="P120" i="1"/>
  <c r="N120" i="1" s="1"/>
  <c r="O112" i="1"/>
  <c r="P112" i="1"/>
  <c r="N112" i="1" s="1"/>
  <c r="O103" i="1"/>
  <c r="P103" i="1"/>
  <c r="N103" i="1" s="1"/>
  <c r="O95" i="1"/>
  <c r="P95" i="1"/>
  <c r="N95" i="1" s="1"/>
  <c r="O91" i="1"/>
  <c r="P91" i="1"/>
  <c r="N91" i="1" s="1"/>
  <c r="O83" i="1"/>
  <c r="P83" i="1"/>
  <c r="N83" i="1" s="1"/>
  <c r="O71" i="1"/>
  <c r="P71" i="1"/>
  <c r="N71" i="1" s="1"/>
  <c r="O63" i="1"/>
  <c r="P63" i="1"/>
  <c r="N63" i="1" s="1"/>
  <c r="O55" i="1"/>
  <c r="P55" i="1"/>
  <c r="N55" i="1" s="1"/>
  <c r="O48" i="1"/>
  <c r="P48" i="1"/>
  <c r="N48" i="1" s="1"/>
  <c r="O40" i="1"/>
  <c r="P40" i="1"/>
  <c r="N40" i="1" s="1"/>
  <c r="O32" i="1"/>
  <c r="P32" i="1"/>
  <c r="N32" i="1" s="1"/>
  <c r="O24" i="1"/>
  <c r="P24" i="1"/>
  <c r="N24" i="1" s="1"/>
  <c r="O13" i="1"/>
  <c r="P13" i="1"/>
  <c r="N13" i="1" s="1"/>
  <c r="P316" i="1"/>
  <c r="N316" i="1" s="1"/>
  <c r="P312" i="1"/>
  <c r="N312" i="1" s="1"/>
  <c r="P308" i="1"/>
  <c r="N308" i="1" s="1"/>
  <c r="P304" i="1"/>
  <c r="N304" i="1" s="1"/>
  <c r="P300" i="1"/>
  <c r="N300" i="1" s="1"/>
  <c r="P295" i="1"/>
  <c r="N295" i="1" s="1"/>
  <c r="P291" i="1"/>
  <c r="N291" i="1" s="1"/>
  <c r="P287" i="1"/>
  <c r="N287" i="1" s="1"/>
  <c r="P283" i="1"/>
  <c r="N283" i="1" s="1"/>
  <c r="P279" i="1"/>
  <c r="N279" i="1" s="1"/>
  <c r="P275" i="1"/>
  <c r="N275" i="1" s="1"/>
  <c r="P272" i="1"/>
  <c r="N272" i="1" s="1"/>
  <c r="P268" i="1"/>
  <c r="N268" i="1" s="1"/>
  <c r="P264" i="1"/>
  <c r="N264" i="1" s="1"/>
  <c r="P260" i="1"/>
  <c r="N260" i="1" s="1"/>
  <c r="P256" i="1"/>
  <c r="N256" i="1" s="1"/>
  <c r="P252" i="1"/>
  <c r="N252" i="1" s="1"/>
  <c r="P248" i="1"/>
  <c r="N248" i="1" s="1"/>
  <c r="P244" i="1"/>
  <c r="N244" i="1" s="1"/>
  <c r="P240" i="1"/>
  <c r="N240" i="1" s="1"/>
  <c r="P236" i="1"/>
  <c r="N236" i="1" s="1"/>
  <c r="P233" i="1"/>
  <c r="N233" i="1" s="1"/>
  <c r="P229" i="1"/>
  <c r="N229" i="1" s="1"/>
  <c r="P224" i="1"/>
  <c r="N224" i="1" s="1"/>
  <c r="P227" i="1"/>
  <c r="N227" i="1" s="1"/>
  <c r="P5" i="1"/>
  <c r="N5" i="1" s="1"/>
  <c r="P2" i="1"/>
  <c r="N2" i="1" s="1"/>
  <c r="P3" i="1"/>
  <c r="N3" i="1" s="1"/>
  <c r="O4" i="1"/>
</calcChain>
</file>

<file path=xl/sharedStrings.xml><?xml version="1.0" encoding="utf-8"?>
<sst xmlns="http://schemas.openxmlformats.org/spreadsheetml/2006/main" count="3849" uniqueCount="502">
  <si>
    <t>EECC</t>
  </si>
  <si>
    <t>DEPARTAMENTO</t>
  </si>
  <si>
    <t>FUNCIONALIDAD</t>
  </si>
  <si>
    <t>MARCA</t>
  </si>
  <si>
    <t>SERIAL DEL EQUIPO</t>
  </si>
  <si>
    <t>FECHA VENCIMIENTO CERTIFICADO CALIBRACIÓN (D/M/A)</t>
  </si>
  <si>
    <t>PRESENTA CERTIFICADO DE CALIBRACION</t>
  </si>
  <si>
    <t>ACTIVIDAD</t>
  </si>
  <si>
    <t>MOTIVO ACTIVIDAD</t>
  </si>
  <si>
    <t>FECHA DE REGISTRO DE NOVEDAD EN OPERACIÓN</t>
  </si>
  <si>
    <t xml:space="preserve">OBSEVACIÓN REGISTRO </t>
  </si>
  <si>
    <t>FECHA ACTUAL</t>
  </si>
  <si>
    <t>CERTIFICADO DE CALIBRACIÓN VENCIDO?</t>
  </si>
  <si>
    <t>.</t>
  </si>
  <si>
    <t>ESTADO EQUIPO</t>
  </si>
  <si>
    <t>INCOPSA</t>
  </si>
  <si>
    <t>NARIÑO</t>
  </si>
  <si>
    <t>DEVISER</t>
  </si>
  <si>
    <t>SI</t>
  </si>
  <si>
    <t>SIGUE DE OPERACIÓN</t>
  </si>
  <si>
    <t>EMCOMUNITEL</t>
  </si>
  <si>
    <t>VALLE DEL CAUCA</t>
  </si>
  <si>
    <t>ANRITSU</t>
  </si>
  <si>
    <t>INGRESO A OPERACIÓN</t>
  </si>
  <si>
    <t>REMPLAZO DE EQUIPO</t>
  </si>
  <si>
    <t>FSCR</t>
  </si>
  <si>
    <t>PUTUMAYO</t>
  </si>
  <si>
    <t>ANALIZADOR DE BERT</t>
  </si>
  <si>
    <t>NO</t>
  </si>
  <si>
    <t>SALIDA DE OPERACIÓN</t>
  </si>
  <si>
    <t>SE ENVIO A CALIBRAR</t>
  </si>
  <si>
    <t>ACTIVIDAD OPERATIVA</t>
  </si>
  <si>
    <t>COBRA</t>
  </si>
  <si>
    <t>CALDAS</t>
  </si>
  <si>
    <t>DAÑO EQUIPO</t>
  </si>
  <si>
    <t>COMFICA</t>
  </si>
  <si>
    <t>CAUCA</t>
  </si>
  <si>
    <t>HUILA</t>
  </si>
  <si>
    <t>EZENTIS</t>
  </si>
  <si>
    <t>META</t>
  </si>
  <si>
    <t>FUSIONADORA</t>
  </si>
  <si>
    <t>DYNATEL</t>
  </si>
  <si>
    <t>TRASLADO DE ZONA</t>
  </si>
  <si>
    <t>EMPALMADORA</t>
  </si>
  <si>
    <t>HURTO DE EQUIPO</t>
  </si>
  <si>
    <t>FITTEL</t>
  </si>
  <si>
    <t>SIN NOVEDAD</t>
  </si>
  <si>
    <t>LITEYCA</t>
  </si>
  <si>
    <t>CUNDI/ BOGO</t>
  </si>
  <si>
    <t>FLEX SCAN</t>
  </si>
  <si>
    <t>OPEGIN</t>
  </si>
  <si>
    <t>FUJIKURA</t>
  </si>
  <si>
    <t>OPTECOM</t>
  </si>
  <si>
    <t>QUINDIO</t>
  </si>
  <si>
    <t>RISARALDA</t>
  </si>
  <si>
    <t>FUSIONADORA GREENLEE</t>
  </si>
  <si>
    <t>CAQUETA</t>
  </si>
  <si>
    <t>FUSIONADORA SWIFT KF4</t>
  </si>
  <si>
    <t>BOGOTA</t>
  </si>
  <si>
    <t>GREENLEE TEMPO</t>
  </si>
  <si>
    <t>MEGGUER</t>
  </si>
  <si>
    <t>ANTIOQUIA</t>
  </si>
  <si>
    <t xml:space="preserve">Modulo </t>
  </si>
  <si>
    <t>CHOCO</t>
  </si>
  <si>
    <t>OTDR</t>
  </si>
  <si>
    <t>CESAR</t>
  </si>
  <si>
    <t>SIDEKICK PLUS GREENLEE</t>
  </si>
  <si>
    <t>LA GUAJIRA</t>
  </si>
  <si>
    <t>MAGDALENA</t>
  </si>
  <si>
    <t>TOLIMA</t>
  </si>
  <si>
    <t>ATLANTICO</t>
  </si>
  <si>
    <t>BOLIVAR</t>
  </si>
  <si>
    <t>CORDOBA</t>
  </si>
  <si>
    <t>CUNDINAMARCA</t>
  </si>
  <si>
    <t>SAN ANDRES ISLAS</t>
  </si>
  <si>
    <t>SUCRE</t>
  </si>
  <si>
    <t>ARAUCA</t>
  </si>
  <si>
    <t>BOYACA</t>
  </si>
  <si>
    <t>CASANARE</t>
  </si>
  <si>
    <t>NORTE DE SANTANDER</t>
  </si>
  <si>
    <t>SANTANDER</t>
  </si>
  <si>
    <t>BUCARAMANGA</t>
  </si>
  <si>
    <t>FUSIONADORA DE FO</t>
  </si>
  <si>
    <t>FITEL</t>
  </si>
  <si>
    <t>03326</t>
  </si>
  <si>
    <t>SKYCOM</t>
  </si>
  <si>
    <t>T207H180725570</t>
  </si>
  <si>
    <t>SPEED</t>
  </si>
  <si>
    <t>T207H180524491</t>
  </si>
  <si>
    <t>T207H180624941</t>
  </si>
  <si>
    <t>T207H180725641</t>
  </si>
  <si>
    <t>6C60062883</t>
  </si>
  <si>
    <t>6C00005513 / 6C00007917</t>
  </si>
  <si>
    <t>POWTECH</t>
  </si>
  <si>
    <t>6C60062884</t>
  </si>
  <si>
    <t>DVP</t>
  </si>
  <si>
    <t>F2H</t>
  </si>
  <si>
    <t>E5FHAO1741</t>
  </si>
  <si>
    <t>ANALIZADOR BUCLE CU</t>
  </si>
  <si>
    <t>MEGGER</t>
  </si>
  <si>
    <t>LEM INSTRUMETS</t>
  </si>
  <si>
    <t>0E6001B</t>
  </si>
  <si>
    <t>36775</t>
  </si>
  <si>
    <t>0041011G</t>
  </si>
  <si>
    <t>005100XD</t>
  </si>
  <si>
    <t>013400JL</t>
  </si>
  <si>
    <t>6C00042759</t>
  </si>
  <si>
    <t>6C00058442</t>
  </si>
  <si>
    <t>6C00058443</t>
  </si>
  <si>
    <t>GUILING</t>
  </si>
  <si>
    <t>1000883207</t>
  </si>
  <si>
    <t>3000070374</t>
  </si>
  <si>
    <t>0951006W</t>
  </si>
  <si>
    <t>915FS100619</t>
  </si>
  <si>
    <t>896774</t>
  </si>
  <si>
    <t>0002008W</t>
  </si>
  <si>
    <t>003301SM</t>
  </si>
  <si>
    <t>012201X2</t>
  </si>
  <si>
    <t>023100f7</t>
  </si>
  <si>
    <t>0239001L</t>
  </si>
  <si>
    <t>0339000J</t>
  </si>
  <si>
    <t>0540005U</t>
  </si>
  <si>
    <t>0603000K</t>
  </si>
  <si>
    <t>0609004C</t>
  </si>
  <si>
    <t>0643004V</t>
  </si>
  <si>
    <t>SHINEWAYTECH</t>
  </si>
  <si>
    <t>20331L001</t>
  </si>
  <si>
    <t>HANGZHOU</t>
  </si>
  <si>
    <t>INNO</t>
  </si>
  <si>
    <t>COMWAY</t>
  </si>
  <si>
    <t>ELOIK</t>
  </si>
  <si>
    <t>SUMITOMO</t>
  </si>
  <si>
    <t>JILONG</t>
  </si>
  <si>
    <t>TECHWIN</t>
  </si>
  <si>
    <t>108H181128563</t>
  </si>
  <si>
    <t>108H181128583</t>
  </si>
  <si>
    <t>ILSINTECH</t>
  </si>
  <si>
    <t>AA431810012357</t>
  </si>
  <si>
    <t>FUSION SPLICER</t>
  </si>
  <si>
    <t>5C04912011</t>
  </si>
  <si>
    <t>AE332667152</t>
  </si>
  <si>
    <t>D633595FC</t>
  </si>
  <si>
    <t>HZPE2AMTGM2LDE9H</t>
  </si>
  <si>
    <t>SIGNAL FIRE</t>
  </si>
  <si>
    <t>V01A19029925</t>
  </si>
  <si>
    <t>V01E20029988</t>
  </si>
  <si>
    <t>V03F20076122</t>
  </si>
  <si>
    <t xml:space="preserve">JD42591CA </t>
  </si>
  <si>
    <t>OPTICAL POWER METER</t>
  </si>
  <si>
    <t>MEGOMETRO</t>
  </si>
  <si>
    <t>UNILAP ISO</t>
  </si>
  <si>
    <t>S05290073908</t>
  </si>
  <si>
    <t xml:space="preserve">CAQUETA </t>
  </si>
  <si>
    <t>U395993GC</t>
  </si>
  <si>
    <t>F077067BA</t>
  </si>
  <si>
    <t>EXFO</t>
  </si>
  <si>
    <t>S8B2BAGWM267YGLV</t>
  </si>
  <si>
    <t xml:space="preserve">PALM  </t>
  </si>
  <si>
    <t>FIBER</t>
  </si>
  <si>
    <t>OPTICAL TIME DOMAIN REFLECTOMETER</t>
  </si>
  <si>
    <t>994600B4</t>
  </si>
  <si>
    <t>F077071BA</t>
  </si>
  <si>
    <t>ROBAY</t>
  </si>
  <si>
    <t>E5FHA04363</t>
  </si>
  <si>
    <t>E5SHA04375</t>
  </si>
  <si>
    <t>ORIENTEK</t>
  </si>
  <si>
    <t>FYSI01</t>
  </si>
  <si>
    <t>992200DP</t>
  </si>
  <si>
    <t>V03D20091062</t>
  </si>
  <si>
    <t>V03B200117039</t>
  </si>
  <si>
    <t>207H180524512</t>
  </si>
  <si>
    <t>6C00058444</t>
  </si>
  <si>
    <t>000403CTW</t>
  </si>
  <si>
    <t>0531007D</t>
  </si>
  <si>
    <t>993300Y2</t>
  </si>
  <si>
    <t>E5FHA04375</t>
  </si>
  <si>
    <t>207H190330035</t>
  </si>
  <si>
    <t>NANJING DVP</t>
  </si>
  <si>
    <t>QE331986840</t>
  </si>
  <si>
    <t>QE332165243</t>
  </si>
  <si>
    <t>E331851048</t>
  </si>
  <si>
    <t>AA431804010317</t>
  </si>
  <si>
    <t>0024007LW</t>
  </si>
  <si>
    <t>022800JFW</t>
  </si>
  <si>
    <t>VIAVI</t>
  </si>
  <si>
    <t>E136FB-1260</t>
  </si>
  <si>
    <t>AA431710010760</t>
  </si>
  <si>
    <t>012603JJ</t>
  </si>
  <si>
    <t>ANALIZADOR BERT</t>
  </si>
  <si>
    <t>0535002B</t>
  </si>
  <si>
    <t>CEYEAR</t>
  </si>
  <si>
    <t>012603HSW</t>
  </si>
  <si>
    <t>SPP2WAGXM2E7NTFD</t>
  </si>
  <si>
    <t>E5FHA01977</t>
  </si>
  <si>
    <t>993300Y3</t>
  </si>
  <si>
    <t>FS-60E</t>
  </si>
  <si>
    <t>8A350A2618084446</t>
  </si>
  <si>
    <t>6C00058441</t>
  </si>
  <si>
    <t>01682</t>
  </si>
  <si>
    <t>AA431606010913</t>
  </si>
  <si>
    <t>AA431804010323</t>
  </si>
  <si>
    <t>QE331944249</t>
  </si>
  <si>
    <t>QE331911249</t>
  </si>
  <si>
    <t>002900KB</t>
  </si>
  <si>
    <t>0052041Z</t>
  </si>
  <si>
    <t>0128000K</t>
  </si>
  <si>
    <t>02460039</t>
  </si>
  <si>
    <t>0616003D</t>
  </si>
  <si>
    <t>984700F6</t>
  </si>
  <si>
    <t>995103XW</t>
  </si>
  <si>
    <t>w5.00.2</t>
  </si>
  <si>
    <t>MEGABRAS</t>
  </si>
  <si>
    <t>722NA3</t>
  </si>
  <si>
    <t>E3AN001398</t>
  </si>
  <si>
    <t>V03V19103672</t>
  </si>
  <si>
    <t>SWIFT</t>
  </si>
  <si>
    <t>AA431802010131</t>
  </si>
  <si>
    <t>V03819103674</t>
  </si>
  <si>
    <t>V03H19092547</t>
  </si>
  <si>
    <t>1200903J</t>
  </si>
  <si>
    <t>NORMA UNIPALP</t>
  </si>
  <si>
    <t>A186506111</t>
  </si>
  <si>
    <t>A186506152</t>
  </si>
  <si>
    <t>AA431807011013</t>
  </si>
  <si>
    <t>V03L19115080</t>
  </si>
  <si>
    <t>6601651550469290</t>
  </si>
  <si>
    <t>JDSU </t>
  </si>
  <si>
    <t>AA431804010335</t>
  </si>
  <si>
    <t>AA461612020091</t>
  </si>
  <si>
    <t>TRANSMILLE</t>
  </si>
  <si>
    <t>004800YCW</t>
  </si>
  <si>
    <t>882926</t>
  </si>
  <si>
    <t>HINO VIEW</t>
  </si>
  <si>
    <t>E5FHO02971</t>
  </si>
  <si>
    <t>KOMSHINE</t>
  </si>
  <si>
    <t>0349001Z</t>
  </si>
  <si>
    <t>982300HP</t>
  </si>
  <si>
    <t>9356</t>
  </si>
  <si>
    <t>GT18I3787M</t>
  </si>
  <si>
    <t>AA431606010925</t>
  </si>
  <si>
    <t>Y13073514</t>
  </si>
  <si>
    <t>107028D</t>
  </si>
  <si>
    <t>000300RJ</t>
  </si>
  <si>
    <t>AA401807010676</t>
  </si>
  <si>
    <t>AA401807010732</t>
  </si>
  <si>
    <t>9942001X</t>
  </si>
  <si>
    <t>0047015S</t>
  </si>
  <si>
    <t>0315003X</t>
  </si>
  <si>
    <t>V03E19079575</t>
  </si>
  <si>
    <t>0150002H</t>
  </si>
  <si>
    <t>0638004W</t>
  </si>
  <si>
    <t>VIEW</t>
  </si>
  <si>
    <t>AA431810012069</t>
  </si>
  <si>
    <t>002901NX</t>
  </si>
  <si>
    <t>AA431810012331</t>
  </si>
  <si>
    <t>AA441606010045</t>
  </si>
  <si>
    <t>002902JG</t>
  </si>
  <si>
    <t>AA431804010336</t>
  </si>
  <si>
    <t>0521000H</t>
  </si>
  <si>
    <t>V03K19092548</t>
  </si>
  <si>
    <t>ESFHAO2915</t>
  </si>
  <si>
    <t>H1858350091</t>
  </si>
  <si>
    <t>00YYV43577</t>
  </si>
  <si>
    <t>004800ETW</t>
  </si>
  <si>
    <t>0531007C</t>
  </si>
  <si>
    <t>WINYUANG TECHNOLOGY</t>
  </si>
  <si>
    <t>WISE</t>
  </si>
  <si>
    <t>0247009Y</t>
  </si>
  <si>
    <t>984200FY</t>
  </si>
  <si>
    <t>V03820091058</t>
  </si>
  <si>
    <t>002901P9</t>
  </si>
  <si>
    <t>003102JA</t>
  </si>
  <si>
    <t>0552000T</t>
  </si>
  <si>
    <t>055200A1</t>
  </si>
  <si>
    <t>9951042F</t>
  </si>
  <si>
    <t>981900NP</t>
  </si>
  <si>
    <t>984600LW</t>
  </si>
  <si>
    <t>FLEXSCAN</t>
  </si>
  <si>
    <t xml:space="preserve">2G16SU1169   </t>
  </si>
  <si>
    <t>2G16SU1171</t>
  </si>
  <si>
    <t>14J9PKLMTK1GX7P7</t>
  </si>
  <si>
    <t>WW9ET2ZP5PVXXNTS</t>
  </si>
  <si>
    <t>9E4CS4BP881LXTTB</t>
  </si>
  <si>
    <t>C1C1MEXK8SXVN58F</t>
  </si>
  <si>
    <t>FW9VTTEDR8TXBF3X</t>
  </si>
  <si>
    <t>K1MFF9RTMYWVYGPN</t>
  </si>
  <si>
    <t>TENTECH</t>
  </si>
  <si>
    <t>16G1804</t>
  </si>
  <si>
    <t>56EMN65T6VABW7X8</t>
  </si>
  <si>
    <t>NOYES</t>
  </si>
  <si>
    <t>2C17PT4007</t>
  </si>
  <si>
    <t>2G13SQ1151</t>
  </si>
  <si>
    <t>001400MR</t>
  </si>
  <si>
    <t>AA431804010292</t>
  </si>
  <si>
    <t>114700 E8</t>
  </si>
  <si>
    <t>HIOKI</t>
  </si>
  <si>
    <t>V03L20054476</t>
  </si>
  <si>
    <t>S178A 35214</t>
  </si>
  <si>
    <t>S178A 40024</t>
  </si>
  <si>
    <t>YOKOGAWA</t>
  </si>
  <si>
    <t>6C00117885-9</t>
  </si>
  <si>
    <t>6C00007916</t>
  </si>
  <si>
    <t>6C00054846</t>
  </si>
  <si>
    <t>AF2001559</t>
  </si>
  <si>
    <t>19331L056</t>
  </si>
  <si>
    <t>6200941848</t>
  </si>
  <si>
    <t>915FS100564</t>
  </si>
  <si>
    <t>0047015DW</t>
  </si>
  <si>
    <t>18010336</t>
  </si>
  <si>
    <t>Huila</t>
  </si>
  <si>
    <t>993300Y8</t>
  </si>
  <si>
    <t>D736152</t>
  </si>
  <si>
    <t>9952000HW</t>
  </si>
  <si>
    <t>Ingreso de equipo al nuevo formato</t>
  </si>
  <si>
    <t>07300064</t>
  </si>
  <si>
    <t>Total general</t>
  </si>
  <si>
    <t>CALIBRADO</t>
  </si>
  <si>
    <t>DESCALIBRADO</t>
  </si>
  <si>
    <t>POR CALIBRAR</t>
  </si>
  <si>
    <t>Cuenta de EECC</t>
  </si>
  <si>
    <t>STATUS DE CALIBRACIÓN DE EQUIPOS DE MEDICIÓN FO y CU</t>
  </si>
  <si>
    <t>Total Equipos</t>
  </si>
  <si>
    <t>Equipos Calibrados</t>
  </si>
  <si>
    <t>% Calibrado</t>
  </si>
  <si>
    <t>Equipos Descalibrados</t>
  </si>
  <si>
    <t>% Descalibrados</t>
  </si>
  <si>
    <t>981100MC</t>
  </si>
  <si>
    <t>ingreso a la operación, pantalla reparada</t>
  </si>
  <si>
    <t>025000BBW</t>
  </si>
  <si>
    <t>Salida de operación, se envio a calibrar - RENPLAZO POR 025000BBW DYNATEL</t>
  </si>
  <si>
    <t>ingreso por remplazo de equipo mientras se envia a calibrar el ANALIZADOR BUCLE CU con s/n 882926</t>
  </si>
  <si>
    <t>ESTADO</t>
  </si>
  <si>
    <t>Equipo dado de baja</t>
  </si>
  <si>
    <t>EL PROXIMO SABADO 13 DE MARZO SE RETIRARÁ DE LA OPERACIÓN PARA INCIAR EL PROCESO DE CALIBRACIÓN</t>
  </si>
  <si>
    <t>COBRE</t>
  </si>
  <si>
    <t>FIBRA</t>
  </si>
  <si>
    <t>TIPO RED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</si>
  <si>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Dynatel%5F994600B4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</si>
  <si>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Fusionadora%5FAA431804010317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</si>
  <si>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Megger%5FU395993GC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</si>
  <si>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OTDR%5F16159080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</si>
  <si>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Dynatel%5F993300Y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</si>
  <si>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431804010335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</si>
  <si>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461612020091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</si>
  <si>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Megger%5FD736152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</si>
  <si>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16159024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</si>
  <si>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18159159</t>
  </si>
  <si>
    <t>RUTA</t>
  </si>
  <si>
    <t>-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</si>
  <si>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Dynatel%5F9952000H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</si>
  <si>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Megger%5FF077067BA</t>
  </si>
  <si>
    <t>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DE%20MEDICION%20COBRA%20VALLE%20PACIFICO%2Erar&amp;parent=%2Fsites%2FCALIBRACIONDEEQUIPOS%2ETMHNH%2FShared%20Documents%2FGeneral%2FAuditorias%20Calibracion%20Equipos%202021%2FAuditoria%201Q%2FFernando%20Lozada%20Tambo%2FValle%20del%20Cauca</t>
  </si>
  <si>
    <t>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NORTE%20MARZO%202021%2Erar&amp;parent=%2Fsites%2FCALIBRACIONDEEQUIPOS%2ETMHNH%2FShared%20Documents%2FGeneral%2FAuditorias%20Calibracion%20Equipos%202021%2FAuditoria%201Q%2FFernando%20Lozada%20Tambo%2FValle%20del%20Cauca</t>
  </si>
  <si>
    <t>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</t>
  </si>
  <si>
    <t>.ZIP Bventura</t>
  </si>
  <si>
    <t>.ZIP Valle Sur</t>
  </si>
  <si>
    <t>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</t>
  </si>
  <si>
    <t>.ZIP Cali</t>
  </si>
  <si>
    <t>.ZIP Valle Norte y otros eq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</si>
  <si>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2003326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</si>
  <si>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206C00007917%2D6C00005513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</si>
  <si>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2071905019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</si>
  <si>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180524491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</si>
  <si>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180725641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</si>
  <si>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07300064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</si>
  <si>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10622071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</si>
  <si>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18159151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</si>
  <si>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QE331986840</t>
  </si>
  <si>
    <t>05310078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</si>
  <si>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DYNATEL%2005310078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</si>
  <si>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20%2D%208A350A2618084446%5FCERTIFICADO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</si>
  <si>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207H180725570</t>
  </si>
  <si>
    <t>06716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</si>
  <si>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2006716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</si>
  <si>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OTDR%20%2D%206C00058441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</si>
  <si>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904533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</si>
  <si>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ESFHA01973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</si>
  <si>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16159079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</si>
  <si>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AA431810012331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</si>
  <si>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16159070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</si>
  <si>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AA431804010336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</si>
  <si>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0247009Y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</si>
  <si>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6200667639%20OTDR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</si>
  <si>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984200FY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</si>
  <si>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V03820091058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</si>
  <si>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002901P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</si>
  <si>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003102JA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</si>
  <si>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100386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</si>
  <si>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100911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</si>
  <si>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16G1804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</si>
  <si>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2G13SQ1151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</si>
  <si>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440053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</si>
  <si>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9951042F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</si>
  <si>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JD42591CA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</si>
  <si>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Arauca%2FCALIBRACION%20ARAUCA</t>
  </si>
  <si>
    <t>00030131</t>
  </si>
  <si>
    <t>001059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</si>
  <si>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Meta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</si>
  <si>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0638004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</si>
  <si>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1130259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</si>
  <si>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17151553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</si>
  <si>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2511837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</si>
  <si>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AA431810012357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</si>
  <si>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ESFHAO22915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</si>
  <si>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V03E19079575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</si>
  <si>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ANALIZADOR%20DE%20E1%202511546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</si>
  <si>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2000YYV43577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</si>
  <si>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004800ET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</si>
  <si>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0531007C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</si>
  <si>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2005411</t>
  </si>
  <si>
    <t>05411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</si>
  <si>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H1858350091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</si>
  <si>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AA431810012069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</si>
  <si>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V03K19092548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</si>
  <si>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MEGGER%20OE6001B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</si>
  <si>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2014117157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</si>
  <si>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206200990102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</si>
  <si>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100248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</si>
  <si>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16159032</t>
  </si>
  <si>
    <t>Carpeta vacía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</si>
  <si>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</t>
  </si>
  <si>
    <t>6601442420375028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</si>
  <si>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</si>
  <si>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DYNATEL%20992200DP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</si>
  <si>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B200117039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</si>
  <si>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D20091062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</si>
  <si>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20876488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</si>
  <si>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20876493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</si>
  <si>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20881303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</si>
  <si>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OTDR%201608021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</si>
  <si>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OTDR%206200822296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</si>
  <si>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012603HS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</si>
  <si>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17010437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</si>
  <si>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6200941848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</si>
  <si>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Analizador%20de%20bucle%20004800YC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</si>
  <si>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Dynatel%20025000BB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</si>
  <si>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Empalmadora%20fusionadora%2012601019403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</si>
  <si>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OTDR%20425481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</si>
  <si>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0047015D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</si>
  <si>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0349001Z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</si>
  <si>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17332079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</si>
  <si>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18010336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</si>
  <si>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19011118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</si>
  <si>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3689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</si>
  <si>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6322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</si>
  <si>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9356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</si>
  <si>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981100MC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</si>
  <si>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982300HP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</si>
  <si>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ERT%206200834528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</si>
  <si>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UCLE%20CU%200521000H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</si>
  <si>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FUSIONADORA%20DE%20FO%2036716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</si>
  <si>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20108H181128563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</si>
  <si>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2019114117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</si>
  <si>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208A360C3220592056C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</si>
  <si>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202708079323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</si>
  <si>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202708190323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</si>
  <si>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203091013109135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</si>
  <si>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208A35082618090008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</si>
  <si>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208A35082618090008%2FFUSIONADORA%20DE%20FIBRA%20SERIAL%203074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</si>
  <si>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20120509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</si>
  <si>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201606165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</si>
  <si>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2026857%20%2030081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</si>
  <si>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20594318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</si>
  <si>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206601651550469190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</si>
  <si>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206601651550469200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</si>
  <si>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206887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</si>
  <si>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20789568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</si>
  <si>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0052041Z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</si>
  <si>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02460039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</si>
  <si>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04130053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</si>
  <si>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0616003D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</si>
  <si>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984700F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</si>
  <si>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431802010131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</si>
  <si>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431807011013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</si>
  <si>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V03L19115080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</si>
  <si>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OTDR%5F18159152</t>
  </si>
  <si>
    <t>OK</t>
  </si>
  <si>
    <t>Observación</t>
  </si>
  <si>
    <t>En carpeta Barranquilla filial - nombre Excel</t>
  </si>
  <si>
    <t>En carpeta Atlántico - nombre excel</t>
  </si>
  <si>
    <t>OTRO EQUIPO NO INCLUIDO EN EXCEL -series 23014 y 3151: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</t>
  </si>
  <si>
    <t>OTRO EQUIPO NO INCLUIDO EN EXCEL -series 915FS100560: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</t>
  </si>
  <si>
    <t>OTRO EQUIPO NO INCLUIDO EN EXCEL -series 915FS100566: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</si>
  <si>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000403CT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</si>
  <si>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0531007D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</si>
  <si>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001059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</si>
  <si>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993300Y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</si>
  <si>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17332059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</si>
  <si>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913033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</si>
  <si>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913032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</si>
  <si>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913036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</si>
  <si>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0024007LW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</si>
  <si>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17889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</si>
  <si>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2511551</t>
  </si>
  <si>
    <t>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6200755581</t>
  </si>
  <si>
    <t>27080079323</t>
  </si>
  <si>
    <t>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20808179 y 
OTRO EQUIPO NO INCLUIDO EN EXCEL: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Y13010791</t>
  </si>
  <si>
    <t>Dynatel repetido en carpeta CÓRDOBA: 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DYNATEL%209951042F</t>
  </si>
  <si>
    <t>OK - Novedad: queda en depto CHOCÓ</t>
  </si>
  <si>
    <t>OK - Serial reportado por EECC</t>
  </si>
  <si>
    <t>OK - Actualización ruta</t>
  </si>
  <si>
    <t>FECHA CALIBRACIÓN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</si>
</sst>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\ * #,##0.00_-;\-&quot;$&quot;\ * #,##0.00_-;_-&quot;$&quot;\ * &quot;-&quot;??_-;_-@_-"/>
  </numFmts>
  <fonts count="18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9"/>
      <color rgb="FFFF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uble">
        <color rgb="FF305496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uble">
        <color theme="9" tint="-0.24994659260841701"/>
      </top>
      <bottom style="double">
        <color theme="9" tint="-0.24994659260841701"/>
      </bottom>
      <diagonal/>
    </border>
    <border>
      <left style="dotted">
        <color indexed="64"/>
      </left>
      <right style="dotted">
        <color indexed="64"/>
      </right>
      <top style="double">
        <color theme="9" tint="-0.24994659260841701"/>
      </top>
      <bottom style="double">
        <color theme="9" tint="-0.24994659260841701"/>
      </bottom>
      <diagonal/>
    </border>
    <border>
      <left style="dotted">
        <color indexed="64"/>
      </left>
      <right style="dotted">
        <color indexed="64"/>
      </right>
      <top style="double">
        <color theme="4" tint="-0.24994659260841701"/>
      </top>
      <bottom style="double">
        <color theme="9" tint="-0.2499465926084170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dotted">
        <color indexed="64"/>
      </left>
      <right style="thin">
        <color theme="9"/>
      </right>
      <top style="dotted">
        <color indexed="64"/>
      </top>
      <bottom style="dotted">
        <color indexed="64"/>
      </bottom>
      <diagonal/>
    </border>
    <border>
      <left style="thin">
        <color theme="9"/>
      </left>
      <right style="thin">
        <color theme="9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theme="9"/>
      </right>
      <top style="double">
        <color theme="4" tint="-0.24994659260841701"/>
      </top>
      <bottom style="double">
        <color theme="9" tint="-0.2499465926084170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 style="dotted">
        <color indexed="64"/>
      </left>
      <right style="dotted">
        <color indexed="64"/>
      </right>
      <top/>
      <bottom style="double">
        <color theme="9" tint="-0.24994659260841701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9" fontId="12" fillId="4" borderId="9" xfId="1" applyFont="1" applyFill="1" applyBorder="1" applyAlignment="1">
      <alignment horizontal="center" vertical="center" wrapText="1"/>
    </xf>
    <xf numFmtId="10" fontId="13" fillId="4" borderId="9" xfId="1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/>
    <xf numFmtId="0" fontId="1" fillId="7" borderId="14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1" fillId="7" borderId="13" xfId="0" applyFont="1" applyFill="1" applyBorder="1" applyAlignment="1" applyProtection="1">
      <alignment horizontal="center" vertical="center" wrapText="1"/>
      <protection locked="0"/>
    </xf>
    <xf numFmtId="14" fontId="0" fillId="6" borderId="1" xfId="0" applyNumberFormat="1" applyFill="1" applyBorder="1" applyAlignment="1" applyProtection="1">
      <alignment horizontal="center"/>
      <protection locked="0"/>
    </xf>
    <xf numFmtId="0" fontId="0" fillId="6" borderId="1" xfId="0" applyFill="1" applyBorder="1" applyAlignment="1">
      <alignment horizontal="center"/>
    </xf>
    <xf numFmtId="14" fontId="3" fillId="6" borderId="2" xfId="0" applyNumberFormat="1" applyFont="1" applyFill="1" applyBorder="1" applyAlignment="1">
      <alignment horizontal="left"/>
    </xf>
    <xf numFmtId="0" fontId="0" fillId="6" borderId="3" xfId="0" applyFill="1" applyBorder="1" applyAlignment="1">
      <alignment horizontal="left" vertical="center"/>
    </xf>
    <xf numFmtId="0" fontId="0" fillId="9" borderId="16" xfId="0" applyFont="1" applyFill="1" applyBorder="1"/>
    <xf numFmtId="0" fontId="1" fillId="7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0" fillId="9" borderId="16" xfId="0" applyFont="1" applyFill="1" applyBorder="1" applyAlignment="1">
      <alignment horizontal="left"/>
    </xf>
    <xf numFmtId="49" fontId="0" fillId="9" borderId="16" xfId="0" applyNumberFormat="1" applyFont="1" applyFill="1" applyBorder="1" applyAlignment="1">
      <alignment horizontal="left"/>
    </xf>
    <xf numFmtId="14" fontId="0" fillId="9" borderId="16" xfId="0" applyNumberFormat="1" applyFont="1" applyFill="1" applyBorder="1" applyAlignment="1">
      <alignment horizontal="center" vertical="center"/>
    </xf>
    <xf numFmtId="0" fontId="0" fillId="9" borderId="16" xfId="0" applyFont="1" applyFill="1" applyBorder="1" applyAlignment="1">
      <alignment horizontal="center" vertical="center"/>
    </xf>
    <xf numFmtId="14" fontId="0" fillId="9" borderId="16" xfId="0" applyNumberFormat="1" applyFont="1" applyFill="1" applyBorder="1"/>
    <xf numFmtId="0" fontId="0" fillId="9" borderId="16" xfId="0" applyFont="1" applyFill="1" applyBorder="1" applyAlignment="1">
      <alignment horizontal="left" vertical="center"/>
    </xf>
    <xf numFmtId="14" fontId="0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14" fontId="3" fillId="6" borderId="17" xfId="0" applyNumberFormat="1" applyFont="1" applyFill="1" applyBorder="1" applyAlignment="1">
      <alignment horizontal="left"/>
    </xf>
    <xf numFmtId="0" fontId="0" fillId="6" borderId="18" xfId="0" applyFont="1" applyFill="1" applyBorder="1" applyAlignment="1">
      <alignment horizontal="left" vertical="center"/>
    </xf>
    <xf numFmtId="0" fontId="7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left" vertical="center"/>
    </xf>
    <xf numFmtId="14" fontId="0" fillId="6" borderId="20" xfId="0" applyNumberFormat="1" applyFill="1" applyBorder="1" applyAlignment="1" applyProtection="1">
      <alignment horizontal="center"/>
      <protection locked="0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49" fontId="0" fillId="0" borderId="0" xfId="0" applyNumberForma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center" vertical="center" wrapText="1"/>
    </xf>
    <xf numFmtId="49" fontId="15" fillId="0" borderId="0" xfId="0" applyNumberFormat="1" applyFont="1" applyBorder="1" applyAlignment="1">
      <alignment horizontal="left" vertical="center"/>
    </xf>
    <xf numFmtId="14" fontId="0" fillId="0" borderId="0" xfId="0" applyNumberFormat="1" applyBorder="1" applyAlignment="1" applyProtection="1">
      <alignment horizontal="center"/>
      <protection locked="0"/>
    </xf>
    <xf numFmtId="14" fontId="0" fillId="0" borderId="1" xfId="0" applyNumberFormat="1" applyBorder="1" applyAlignment="1">
      <alignment horizontal="center" vertical="center"/>
    </xf>
    <xf numFmtId="0" fontId="14" fillId="0" borderId="0" xfId="0" applyFont="1" applyBorder="1"/>
    <xf numFmtId="0" fontId="0" fillId="0" borderId="16" xfId="0" applyFont="1" applyBorder="1"/>
    <xf numFmtId="0" fontId="0" fillId="0" borderId="16" xfId="0" applyFont="1" applyBorder="1" applyAlignment="1">
      <alignment horizontal="left"/>
    </xf>
    <xf numFmtId="49" fontId="0" fillId="0" borderId="16" xfId="0" applyNumberFormat="1" applyFont="1" applyBorder="1" applyAlignment="1">
      <alignment horizontal="left"/>
    </xf>
    <xf numFmtId="14" fontId="0" fillId="0" borderId="16" xfId="0" applyNumberFormat="1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14" fontId="0" fillId="0" borderId="16" xfId="0" applyNumberFormat="1" applyFont="1" applyBorder="1"/>
    <xf numFmtId="0" fontId="0" fillId="0" borderId="16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 wrapText="1"/>
    </xf>
    <xf numFmtId="0" fontId="16" fillId="0" borderId="0" xfId="0" applyFont="1"/>
    <xf numFmtId="44" fontId="0" fillId="0" borderId="0" xfId="2" applyFont="1"/>
    <xf numFmtId="0" fontId="16" fillId="0" borderId="0" xfId="0" applyFont="1" applyBorder="1"/>
    <xf numFmtId="0" fontId="16" fillId="0" borderId="0" xfId="0" applyFont="1" applyFill="1" applyBorder="1"/>
    <xf numFmtId="0" fontId="0" fillId="0" borderId="22" xfId="0" applyFont="1" applyBorder="1"/>
    <xf numFmtId="0" fontId="8" fillId="5" borderId="23" xfId="0" applyFont="1" applyFill="1" applyBorder="1" applyAlignment="1">
      <alignment horizontal="left" vertical="center"/>
    </xf>
    <xf numFmtId="0" fontId="8" fillId="0" borderId="23" xfId="0" applyFont="1" applyBorder="1"/>
    <xf numFmtId="0" fontId="17" fillId="0" borderId="0" xfId="3"/>
    <xf numFmtId="0" fontId="1" fillId="10" borderId="24" xfId="0" applyFont="1" applyFill="1" applyBorder="1" applyAlignment="1" applyProtection="1">
      <alignment horizontal="center" vertical="center" wrapText="1"/>
      <protection locked="0"/>
    </xf>
    <xf numFmtId="0" fontId="17" fillId="2" borderId="0" xfId="3" applyFill="1"/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2" borderId="20" xfId="0" applyNumberFormat="1" applyFill="1" applyBorder="1" applyAlignment="1">
      <alignment horizontal="left"/>
    </xf>
    <xf numFmtId="0" fontId="17" fillId="0" borderId="0" xfId="3" applyFill="1"/>
    <xf numFmtId="49" fontId="0" fillId="0" borderId="0" xfId="0" quotePrefix="1" applyNumberFormat="1" applyAlignment="1">
      <alignment horizontal="left"/>
    </xf>
    <xf numFmtId="49" fontId="0" fillId="11" borderId="0" xfId="0" applyNumberFormat="1" applyFill="1" applyAlignment="1">
      <alignment horizontal="left"/>
    </xf>
    <xf numFmtId="0" fontId="0" fillId="11" borderId="0" xfId="0" applyFill="1" applyAlignment="1">
      <alignment vertical="center"/>
    </xf>
    <xf numFmtId="0" fontId="17" fillId="2" borderId="0" xfId="3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14" fontId="0" fillId="0" borderId="0" xfId="0" applyNumberFormat="1" applyFill="1"/>
    <xf numFmtId="14" fontId="0" fillId="0" borderId="10" xfId="0" applyNumberFormat="1" applyFill="1" applyBorder="1" applyAlignment="1" applyProtection="1">
      <alignment horizontal="center"/>
      <protection locked="0"/>
    </xf>
    <xf numFmtId="0" fontId="0" fillId="0" borderId="10" xfId="0" applyFill="1" applyBorder="1" applyAlignment="1">
      <alignment horizontal="center"/>
    </xf>
    <xf numFmtId="14" fontId="3" fillId="0" borderId="11" xfId="0" applyNumberFormat="1" applyFont="1" applyFill="1" applyBorder="1" applyAlignment="1">
      <alignment horizontal="left"/>
    </xf>
    <xf numFmtId="0" fontId="0" fillId="0" borderId="12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14" fontId="0" fillId="0" borderId="1" xfId="0" applyNumberFormat="1" applyFill="1" applyBorder="1" applyAlignment="1" applyProtection="1">
      <alignment horizontal="center"/>
      <protection locked="0"/>
    </xf>
    <xf numFmtId="0" fontId="0" fillId="0" borderId="1" xfId="0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left"/>
    </xf>
    <xf numFmtId="0" fontId="0" fillId="0" borderId="3" xfId="0" applyFill="1" applyBorder="1" applyAlignment="1">
      <alignment horizontal="left" vertical="center"/>
    </xf>
    <xf numFmtId="49" fontId="0" fillId="0" borderId="0" xfId="0" quotePrefix="1" applyNumberFormat="1" applyFill="1" applyAlignment="1">
      <alignment horizontal="left"/>
    </xf>
    <xf numFmtId="0" fontId="0" fillId="4" borderId="0" xfId="0" applyFill="1"/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14" fontId="0" fillId="0" borderId="0" xfId="0" applyNumberFormat="1" applyFill="1" applyAlignment="1">
      <alignment horizontal="left"/>
    </xf>
    <xf numFmtId="14" fontId="0" fillId="11" borderId="0" xfId="0" applyNumberFormat="1" applyFill="1" applyAlignment="1">
      <alignment horizontal="left"/>
    </xf>
    <xf numFmtId="14" fontId="0" fillId="0" borderId="0" xfId="0" quotePrefix="1" applyNumberFormat="1" applyFill="1" applyAlignment="1">
      <alignment horizontal="left"/>
    </xf>
    <xf numFmtId="14" fontId="15" fillId="0" borderId="0" xfId="0" applyNumberFormat="1" applyFont="1" applyBorder="1" applyAlignment="1">
      <alignment horizontal="left" vertical="center"/>
    </xf>
    <xf numFmtId="14" fontId="0" fillId="2" borderId="0" xfId="0" applyNumberFormat="1" applyFill="1" applyAlignment="1">
      <alignment horizontal="left"/>
    </xf>
    <xf numFmtId="14" fontId="0" fillId="2" borderId="20" xfId="0" applyNumberFormat="1" applyFill="1" applyBorder="1" applyAlignment="1">
      <alignment horizontal="left"/>
    </xf>
    <xf numFmtId="0" fontId="1" fillId="12" borderId="14" xfId="0" applyFont="1" applyFill="1" applyBorder="1" applyAlignment="1" applyProtection="1">
      <alignment horizontal="center" vertical="center" wrapText="1"/>
      <protection locked="0"/>
    </xf>
  </cellXfs>
  <cellStyles count="4">
    <cellStyle name="Hipervínculo" xfId="3" builtinId="8"/>
    <cellStyle name="Moneda" xfId="2" builtinId="4"/>
    <cellStyle name="Normal" xfId="0" builtinId="0"/>
    <cellStyle name="Porcentaje" xfId="1" builtinId="5"/>
  </cellStyles>
  <dxfs count="2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FFC000"/>
      </font>
    </dxf>
    <dxf>
      <font>
        <color rgb="FFFF0000"/>
      </font>
    </dxf>
    <dxf>
      <font>
        <color theme="9" tint="-0.2499465926084170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numFmt numFmtId="19" formatCode="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wrapText="1"/>
    </dxf>
    <dxf>
      <alignment horizont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dotted">
          <color indexed="64"/>
        </top>
        <bottom style="dotted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minor"/>
      </font>
      <numFmt numFmtId="19" formatCode="d/mm/yyyy"/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dotted">
          <color indexed="64"/>
        </left>
        <right/>
        <top style="dotted">
          <color indexed="64"/>
        </top>
        <bottom style="dotted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</dxf>
    <dxf>
      <numFmt numFmtId="19" formatCode="d/mm/yyyy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</border>
      <protection locked="0" hidden="0"/>
    </dxf>
    <dxf>
      <alignment horizontal="left" vertical="center" textRotation="0" wrapText="0" indent="0" justifyLastLine="0" shrinkToFit="0" readingOrder="0"/>
    </dxf>
    <dxf>
      <numFmt numFmtId="19" formatCode="d/mm/yyyy"/>
    </dxf>
    <dxf>
      <alignment horizontal="center" vertical="center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double">
          <color theme="4" tint="-0.24994659260841701"/>
        </top>
      </border>
    </dxf>
    <dxf>
      <border>
        <bottom style="double">
          <color theme="9" tint="-0.2499465926084170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otted">
          <color indexed="64"/>
        </left>
        <right style="dotted">
          <color indexed="64"/>
        </right>
        <top/>
        <bottom/>
        <vertical style="dotted">
          <color indexed="64"/>
        </vertical>
        <horizontal/>
      </border>
      <protection locked="0" hidden="0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b/>
      </font>
    </dxf>
    <dxf>
      <font>
        <b/>
      </font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/>
        </patternFill>
      </fill>
    </dxf>
    <dxf>
      <font>
        <color theme="0"/>
      </font>
    </dxf>
    <dxf>
      <fill>
        <patternFill patternType="solid">
          <bgColor theme="9" tint="0.79998168889431442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0"/>
      </font>
      <fill>
        <patternFill patternType="solid">
          <fgColor indexed="64"/>
          <bgColor theme="9" tint="0.39997558519241921"/>
        </patternFill>
      </fill>
      <alignment horizontal="center" wrapText="1"/>
    </dxf>
    <dxf>
      <font>
        <color theme="1"/>
      </font>
    </dxf>
    <dxf>
      <fill>
        <patternFill>
          <bgColor theme="0"/>
        </patternFill>
      </fill>
    </dxf>
    <dxf>
      <fill>
        <patternFill patternType="solid">
          <bgColor theme="9" tint="0.79998168889431442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  <i val="0"/>
      </font>
      <fill>
        <patternFill patternType="solid">
          <fgColor auto="1"/>
          <bgColor theme="0"/>
        </patternFill>
      </fill>
    </dxf>
    <dxf>
      <font>
        <b/>
        <i val="0"/>
      </font>
      <fill>
        <patternFill>
          <bgColor theme="0"/>
        </patternFill>
      </fill>
      <border>
        <top style="medium">
          <color theme="8" tint="0.39994506668294322"/>
        </top>
        <bottom style="thick">
          <color theme="8" tint="0.39994506668294322"/>
        </bottom>
      </border>
    </dxf>
    <dxf>
      <font>
        <b/>
        <i val="0"/>
      </font>
      <fill>
        <gradientFill degree="135">
          <stop position="0">
            <color theme="0"/>
          </stop>
          <stop position="1">
            <color theme="8" tint="0.40000610370189521"/>
          </stop>
        </gradientFill>
      </fill>
    </dxf>
  </dxfs>
  <tableStyles count="1" defaultTableStyle="TableStyleMedium2" defaultPivotStyle="PivotStyleLight16">
    <tableStyle name="Estilo de tabla dinámica 1" table="0" count="3" xr9:uid="{CFC9B1F8-7C76-4BDC-8E28-3FBA1E22ED08}">
      <tableStyleElement type="headerRow" dxfId="283"/>
      <tableStyleElement type="totalRow" dxfId="282"/>
      <tableStyleElement type="firstColumn" dxfId="281"/>
    </tableStyle>
  </tableStyles>
  <colors>
    <mruColors>
      <color rgb="FFABE9FF"/>
      <color rgb="FF5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222437</xdr:colOff>
      <xdr:row>0</xdr:row>
      <xdr:rowOff>33618</xdr:rowOff>
    </xdr:from>
    <xdr:to>
      <xdr:col>2</xdr:col>
      <xdr:colOff>229304</xdr:colOff>
      <xdr:row>5</xdr:row>
      <xdr:rowOff>56206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ECC">
              <a:extLst>
                <a:ext uri="{FF2B5EF4-FFF2-40B4-BE49-F238E27FC236}">
                  <a16:creationId xmlns:a16="http://schemas.microsoft.com/office/drawing/2014/main" id="{85133136-3222-4030-ACA0-A10079C0C0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EC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437" y="33618"/>
              <a:ext cx="2326485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356187</xdr:colOff>
      <xdr:row>0</xdr:row>
      <xdr:rowOff>33618</xdr:rowOff>
    </xdr:from>
    <xdr:to>
      <xdr:col>5</xdr:col>
      <xdr:colOff>323289</xdr:colOff>
      <xdr:row>5</xdr:row>
      <xdr:rowOff>56206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AMENTO">
              <a:extLst>
                <a:ext uri="{FF2B5EF4-FFF2-40B4-BE49-F238E27FC236}">
                  <a16:creationId xmlns:a16="http://schemas.microsoft.com/office/drawing/2014/main" id="{87CECD3C-EE38-4773-A586-A24E21037C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5805" y="33618"/>
              <a:ext cx="2320337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480816</xdr:colOff>
      <xdr:row>0</xdr:row>
      <xdr:rowOff>33618</xdr:rowOff>
    </xdr:from>
    <xdr:to>
      <xdr:col>8</xdr:col>
      <xdr:colOff>918881</xdr:colOff>
      <xdr:row>5</xdr:row>
      <xdr:rowOff>56206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UNCIONALIDAD">
              <a:extLst>
                <a:ext uri="{FF2B5EF4-FFF2-40B4-BE49-F238E27FC236}">
                  <a16:creationId xmlns:a16="http://schemas.microsoft.com/office/drawing/2014/main" id="{925010B9-51EF-4F09-8372-5F9736762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NCIONAL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669" y="33618"/>
              <a:ext cx="2343065" cy="118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rmuozga\Desktop\GESTION\1.%20OPERACION\1.%20OPERACION\4.%20INFORMES\Calibracion%20Equipo\FORMULARIO%20CALIBRACION%20EQUIP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O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JAVIER DIAZ HERNANDEZ" refreshedDate="44298.87212615741" createdVersion="6" refreshedVersion="6" minRefreshableVersion="3" recordCount="318" xr:uid="{2D45361B-5657-4995-A1F4-A014BE18D9BC}">
  <cacheSource type="worksheet">
    <worksheetSource name="Tabla22[[EECC]:[ESTADO]]"/>
  </cacheSource>
  <cacheFields count="15">
    <cacheField name="EECC" numFmtId="0">
      <sharedItems count="9">
        <s v="EZENTIS"/>
        <s v="OPEGIN"/>
        <s v="OPTECOM"/>
        <s v="LITEYCA"/>
        <s v="COMFICA"/>
        <s v="COBRA"/>
        <s v="FSCR"/>
        <s v="INCOPSA"/>
        <s v="EMCOMUNITEL"/>
      </sharedItems>
    </cacheField>
    <cacheField name="DEPARTAMENTO" numFmtId="0">
      <sharedItems count="30">
        <s v="ANTIOQUIA"/>
        <s v="ARAUCA"/>
        <s v="ATLANTICO"/>
        <s v="BOGOTA"/>
        <s v="BOLIVAR"/>
        <s v="BOYACA"/>
        <s v="BUCARAMANGA"/>
        <s v="CALDAS"/>
        <s v="CAQUETA "/>
        <s v="CASANARE"/>
        <s v="CAUCA"/>
        <s v="CESAR"/>
        <s v="CHOCO"/>
        <s v="CORDOBA"/>
        <s v="CUNDI/ BOGO"/>
        <s v="CUNDINAMARCA"/>
        <s v="HUILA"/>
        <s v="LA GUAJIRA"/>
        <s v="MAGDALENA"/>
        <s v="META"/>
        <s v="NARIÑO"/>
        <s v="NORTE DE SANTANDER"/>
        <s v="PUTUMAYO"/>
        <s v="QUINDIO"/>
        <s v="RISARALDA"/>
        <s v="SAN ANDRES ISLAS"/>
        <s v="SANTANDER"/>
        <s v="SUCRE"/>
        <s v="TOLIMA"/>
        <s v="VALLE DEL CAUCA"/>
      </sharedItems>
    </cacheField>
    <cacheField name="FUNCIONALIDAD" numFmtId="0">
      <sharedItems count="6">
        <s v="FUSIONADORA DE FO"/>
        <s v="OTDR"/>
        <s v="ANALIZADOR BUCLE CU"/>
        <s v="MEGOMETRO"/>
        <s v="ANALIZADOR BERT"/>
        <s v="MEGGER" u="1"/>
      </sharedItems>
    </cacheField>
    <cacheField name="MARCA" numFmtId="0">
      <sharedItems count="54">
        <s v="SKYCOM"/>
        <s v="SPEED"/>
        <s v="DVP"/>
        <s v="ANRITSU"/>
        <s v="F2H"/>
        <s v="FITEL"/>
        <s v="POWTECH"/>
        <s v="DYNATEL"/>
        <s v="UNILAP ISO"/>
        <s v="SIDEKICK PLUS GREENLEE"/>
        <s v="SHINEWAYTECH"/>
        <s v="GUILING"/>
        <s v="DEVISER"/>
        <s v="ROBAY"/>
        <s v="FUJIKURA"/>
        <s v="ELOIK"/>
        <s v="HANGZHOU"/>
        <s v="SUMITOMO"/>
        <s v="SIGNAL FIRE"/>
        <s v="PALM  "/>
        <s v="JILONG"/>
        <s v="EXFO"/>
        <s v="INNO"/>
        <s v="YOKOGAWA"/>
        <s v="TECHWIN"/>
        <s v="ORIENTEK"/>
        <s v="OPTICAL POWER METER"/>
        <s v="FUSION SPLICER"/>
        <s v="FIBER"/>
        <s v="VIAVI"/>
        <s v="WINYUANG TECHNOLOGY"/>
        <s v="OPTICAL TIME DOMAIN REFLECTOMETER"/>
        <s v="COMWAY"/>
        <s v="NANJING DVP"/>
        <s v="ILSINTECH"/>
        <s v="WISE"/>
        <s v="CEYEAR"/>
        <s v="FS-60E"/>
        <s v="MEGABRAS"/>
        <s v="SWIFT"/>
        <s v="NORMA UNIPALP"/>
        <s v="JDSU "/>
        <s v="KOMSHINE"/>
        <s v="HINO VIEW"/>
        <s v="TRANSMILLE"/>
        <s v="LEM INSTRUMETS"/>
        <s v="FLEXSCAN"/>
        <s v="TENTECH"/>
        <s v="NOYES"/>
        <s v="VIEW"/>
        <s v="HIOKI"/>
        <s v="FUJIKURA " u="1"/>
        <s v="DYNATEL " u="1"/>
        <s v="SKYCOM " u="1"/>
      </sharedItems>
    </cacheField>
    <cacheField name="SERIAL DEL EQUIPO" numFmtId="49">
      <sharedItems containsMixedTypes="1" containsNumber="1" containsInteger="1" minValue="136" maxValue="6601651550479400"/>
    </cacheField>
    <cacheField name="FECHA VENCIMIENTO CERTIFICADO CALIBRACIÓN (D/M/A)" numFmtId="14">
      <sharedItems containsSemiMixedTypes="0" containsNonDate="0" containsDate="1" containsString="0" minDate="2021-03-09T00:00:00" maxDate="2023-03-01T00:00:00"/>
    </cacheField>
    <cacheField name="PRESENTA CERTIFICADO DE CALIBRACION" numFmtId="0">
      <sharedItems/>
    </cacheField>
    <cacheField name="ACTIVIDAD" numFmtId="0">
      <sharedItems/>
    </cacheField>
    <cacheField name="MOTIVO ACTIVIDAD" numFmtId="0">
      <sharedItems/>
    </cacheField>
    <cacheField name="FECHA DE REGISTRO DE NOVEDAD EN OPERACIÓN" numFmtId="14">
      <sharedItems containsSemiMixedTypes="0" containsNonDate="0" containsDate="1" containsString="0" minDate="2021-03-02T00:00:00" maxDate="2021-03-16T00:00:00"/>
    </cacheField>
    <cacheField name="OBSEVACIÓN REGISTRO " numFmtId="0">
      <sharedItems/>
    </cacheField>
    <cacheField name="FECHA ACTUAL" numFmtId="14">
      <sharedItems containsNonDate="0" containsDate="1" containsString="0" containsBlank="1" minDate="2021-04-12T00:00:00" maxDate="2021-04-13T00:00:00"/>
    </cacheField>
    <cacheField name="CERTIFICADO DE CALIBRACIÓN VENCIDO?" numFmtId="0">
      <sharedItems/>
    </cacheField>
    <cacheField name="." numFmtId="14">
      <sharedItems containsSemiMixedTypes="0" containsDate="1" containsString="0" containsMixedTypes="1" minDate="1899-12-31T01:08:12" maxDate="2021-03-21T00:00:00"/>
    </cacheField>
    <cacheField name="ESTADO" numFmtId="0">
      <sharedItems count="3">
        <s v="CALIBRADO"/>
        <s v="POR CALIBRAR"/>
        <s v="DESCALIBRADO"/>
      </sharedItems>
    </cacheField>
  </cacheFields>
  <extLst>
    <ext xmlns:x14="http://schemas.microsoft.com/office/spreadsheetml/2009/9/main" uri="{725AE2AE-9491-48be-B2B4-4EB974FC3084}">
      <x14:pivotCacheDefinition pivotCacheId="10874787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x v="0"/>
    <x v="0"/>
    <x v="0"/>
    <x v="0"/>
    <s v="T207H180725570"/>
    <d v="2021-06-29T00:00:00"/>
    <s v="NO"/>
    <s v="SIGUE DE OPERACIÓN"/>
    <s v="SIN NOVEDAD"/>
    <d v="2021-03-15T00:00:00"/>
    <s v="Ingreso de equipo al nuevo formato"/>
    <d v="2021-04-12T00:00:00"/>
    <s v="NO"/>
    <d v="1900-03-18T00:00:00"/>
    <x v="0"/>
  </r>
  <r>
    <x v="0"/>
    <x v="0"/>
    <x v="0"/>
    <x v="1"/>
    <n v="71905019"/>
    <d v="2021-06-06T00:00:00"/>
    <s v="NO"/>
    <s v="SIGUE DE OPERACIÓN"/>
    <s v="SIN NOVEDAD"/>
    <d v="2021-03-15T00:00:00"/>
    <s v="Ingreso de equipo al nuevo formato"/>
    <d v="2021-04-12T00:00:00"/>
    <s v="NO"/>
    <d v="1900-02-23T00:00:00"/>
    <x v="0"/>
  </r>
  <r>
    <x v="0"/>
    <x v="0"/>
    <x v="0"/>
    <x v="1"/>
    <n v="71906038"/>
    <d v="2021-06-08T00:00:00"/>
    <s v="NO"/>
    <s v="SIGUE DE OPERACIÓN"/>
    <s v="SIN NOVEDAD"/>
    <d v="2021-03-15T00:00:00"/>
    <s v="Ingreso de equipo al nuevo formato"/>
    <d v="2021-04-12T00:00:00"/>
    <s v="NO"/>
    <d v="1900-02-25T00:00:00"/>
    <x v="0"/>
  </r>
  <r>
    <x v="0"/>
    <x v="0"/>
    <x v="1"/>
    <x v="2"/>
    <n v="1002323230"/>
    <d v="2021-06-09T00:00:00"/>
    <s v="NO"/>
    <s v="SIGUE DE OPERACIÓN"/>
    <s v="SIN NOVEDAD"/>
    <d v="2021-03-15T00:00:00"/>
    <s v="Ingreso de equipo al nuevo formato"/>
    <d v="2021-04-12T00:00:00"/>
    <s v="NO"/>
    <d v="1900-02-26T00:00:00"/>
    <x v="0"/>
  </r>
  <r>
    <x v="0"/>
    <x v="0"/>
    <x v="1"/>
    <x v="3"/>
    <s v="6C60062884"/>
    <d v="2021-06-10T00:00:00"/>
    <s v="NO"/>
    <s v="SIGUE DE OPERACIÓN"/>
    <s v="SIN NOVEDAD"/>
    <d v="2021-03-15T00:00:00"/>
    <s v="Ingreso de equipo al nuevo formato"/>
    <d v="2021-04-12T00:00:00"/>
    <s v="NO"/>
    <d v="1900-02-27T00:00:00"/>
    <x v="0"/>
  </r>
  <r>
    <x v="0"/>
    <x v="0"/>
    <x v="1"/>
    <x v="4"/>
    <s v="E5FHAO1741"/>
    <d v="2021-06-11T00:00:00"/>
    <s v="NO"/>
    <s v="SIGUE DE OPERACIÓN"/>
    <s v="SIN NOVEDAD"/>
    <d v="2021-03-15T00:00:00"/>
    <s v="Ingreso de equipo al nuevo formato"/>
    <d v="2021-04-12T00:00:00"/>
    <s v="NO"/>
    <d v="1900-02-28T00:00:00"/>
    <x v="0"/>
  </r>
  <r>
    <x v="0"/>
    <x v="0"/>
    <x v="1"/>
    <x v="2"/>
    <n v="1001673230"/>
    <d v="2021-06-12T00:00:00"/>
    <s v="NO"/>
    <s v="SIGUE DE OPERACIÓN"/>
    <s v="SIN NOVEDAD"/>
    <d v="2021-03-15T00:00:00"/>
    <s v="Ingreso de equipo al nuevo formato"/>
    <d v="2021-04-12T00:00:00"/>
    <s v="NO"/>
    <d v="1900-03-01T00:00:00"/>
    <x v="0"/>
  </r>
  <r>
    <x v="0"/>
    <x v="0"/>
    <x v="1"/>
    <x v="3"/>
    <s v="6C60062883"/>
    <d v="2021-06-17T00:00:00"/>
    <s v="NO"/>
    <s v="SIGUE DE OPERACIÓN"/>
    <s v="SIN NOVEDAD"/>
    <d v="2021-03-15T00:00:00"/>
    <s v="Ingreso de equipo al nuevo formato"/>
    <d v="2021-04-12T00:00:00"/>
    <s v="NO"/>
    <d v="1900-03-06T00:00:00"/>
    <x v="0"/>
  </r>
  <r>
    <x v="0"/>
    <x v="0"/>
    <x v="0"/>
    <x v="0"/>
    <s v="T207H180725641"/>
    <d v="2021-06-19T00:00:00"/>
    <s v="NO"/>
    <s v="SIGUE DE OPERACIÓN"/>
    <s v="SIN NOVEDAD"/>
    <d v="2021-03-15T00:00:00"/>
    <s v="Ingreso de equipo al nuevo formato"/>
    <d v="2021-04-12T00:00:00"/>
    <s v="NO"/>
    <d v="1900-03-08T00:00:00"/>
    <x v="0"/>
  </r>
  <r>
    <x v="0"/>
    <x v="0"/>
    <x v="0"/>
    <x v="5"/>
    <s v="03326"/>
    <d v="2021-06-25T00:00:00"/>
    <s v="NO"/>
    <s v="SIGUE DE OPERACIÓN"/>
    <s v="SIN NOVEDAD"/>
    <d v="2021-03-15T00:00:00"/>
    <s v="Ingreso de equipo al nuevo formato"/>
    <d v="2021-04-12T00:00:00"/>
    <s v="NO"/>
    <d v="1900-03-14T00:00:00"/>
    <x v="0"/>
  </r>
  <r>
    <x v="0"/>
    <x v="0"/>
    <x v="0"/>
    <x v="0"/>
    <s v="T207H180524491"/>
    <d v="2021-06-30T00:00:00"/>
    <s v="NO"/>
    <s v="SIGUE DE OPERACIÓN"/>
    <s v="SIN NOVEDAD"/>
    <d v="2021-03-15T00:00:00"/>
    <s v="Ingreso de equipo al nuevo formato"/>
    <d v="2021-04-12T00:00:00"/>
    <s v="NO"/>
    <d v="1900-03-19T00:00:00"/>
    <x v="0"/>
  </r>
  <r>
    <x v="0"/>
    <x v="0"/>
    <x v="1"/>
    <x v="0"/>
    <n v="1203284"/>
    <d v="2021-06-30T00:00:00"/>
    <s v="NO"/>
    <s v="SIGUE DE OPERACIÓN"/>
    <s v="SIN NOVEDAD"/>
    <d v="2021-03-15T00:00:00"/>
    <s v="Ingreso de equipo al nuevo formato"/>
    <d v="2021-04-12T00:00:00"/>
    <s v="NO"/>
    <d v="1900-03-19T00:00:00"/>
    <x v="0"/>
  </r>
  <r>
    <x v="0"/>
    <x v="0"/>
    <x v="1"/>
    <x v="3"/>
    <s v="6C00005513 / 6C00007917"/>
    <d v="2021-07-29T00:00:00"/>
    <s v="NO"/>
    <s v="SIGUE DE OPERACIÓN"/>
    <s v="SIN NOVEDAD"/>
    <d v="2021-03-15T00:00:00"/>
    <s v="Ingreso de equipo al nuevo formato"/>
    <d v="2021-04-12T00:00:00"/>
    <s v="NO"/>
    <d v="1900-04-17T00:00:00"/>
    <x v="0"/>
  </r>
  <r>
    <x v="0"/>
    <x v="0"/>
    <x v="0"/>
    <x v="0"/>
    <s v="T207H180624941"/>
    <d v="2021-08-02T00:00:00"/>
    <s v="NO"/>
    <s v="SIGUE DE OPERACIÓN"/>
    <s v="SIN NOVEDAD"/>
    <d v="2021-03-15T00:00:00"/>
    <s v="Ingreso de equipo al nuevo formato"/>
    <d v="2021-04-12T00:00:00"/>
    <s v="NO"/>
    <d v="1900-04-21T00:00:00"/>
    <x v="0"/>
  </r>
  <r>
    <x v="0"/>
    <x v="0"/>
    <x v="1"/>
    <x v="6"/>
    <n v="15020333"/>
    <d v="2021-08-02T00:00:00"/>
    <s v="NO"/>
    <s v="SIGUE DE OPERACIÓN"/>
    <s v="SIN NOVEDAD"/>
    <d v="2021-03-15T00:00:00"/>
    <s v="Ingreso de equipo al nuevo formato"/>
    <d v="2021-04-12T00:00:00"/>
    <s v="NO"/>
    <d v="1900-04-21T00:00:00"/>
    <x v="0"/>
  </r>
  <r>
    <x v="1"/>
    <x v="1"/>
    <x v="2"/>
    <x v="7"/>
    <n v="30131"/>
    <d v="2021-12-07T00:00:00"/>
    <s v="NO"/>
    <s v="SIGUE DE OPERACIÓN"/>
    <s v="SIN NOVEDAD"/>
    <d v="2021-03-15T00:00:00"/>
    <s v="Ingreso de equipo al nuevo formato"/>
    <d v="2021-04-12T00:00:00"/>
    <s v="NO"/>
    <d v="1900-08-26T00:00:00"/>
    <x v="0"/>
  </r>
  <r>
    <x v="1"/>
    <x v="1"/>
    <x v="3"/>
    <x v="8"/>
    <s v="S05290073908"/>
    <d v="2022-09-29T00:00:00"/>
    <s v="NO"/>
    <s v="SIGUE DE OPERACIÓN"/>
    <s v="SIN NOVEDAD"/>
    <d v="2021-03-15T00:00:00"/>
    <s v="Ingreso de equipo al nuevo formato"/>
    <d v="2021-04-12T00:00:00"/>
    <s v="NO"/>
    <d v="1901-06-18T00:00:00"/>
    <x v="0"/>
  </r>
  <r>
    <x v="2"/>
    <x v="2"/>
    <x v="0"/>
    <x v="9"/>
    <s v="915FS100619"/>
    <d v="2022-03-01T00:00:00"/>
    <s v="NO"/>
    <s v="SIGUE DE OPERACIÓN"/>
    <s v="SIN NOVEDAD"/>
    <d v="2021-03-15T00:00:00"/>
    <s v="Ingreso de equipo al nuevo formato"/>
    <d v="2021-04-12T00:00:00"/>
    <s v="NO"/>
    <d v="1900-11-18T00:00:00"/>
    <x v="0"/>
  </r>
  <r>
    <x v="2"/>
    <x v="2"/>
    <x v="1"/>
    <x v="10"/>
    <s v="20331L001"/>
    <d v="2022-03-10T00:00:00"/>
    <s v="NO"/>
    <s v="SIGUE DE OPERACIÓN"/>
    <s v="SIN NOVEDAD"/>
    <d v="2021-03-15T00:00:00"/>
    <s v="Ingreso de equipo al nuevo formato"/>
    <d v="2021-04-12T00:00:00"/>
    <s v="NO"/>
    <d v="1900-11-27T00:00:00"/>
    <x v="0"/>
  </r>
  <r>
    <x v="3"/>
    <x v="2"/>
    <x v="1"/>
    <x v="3"/>
    <s v="6C00042759"/>
    <d v="2021-04-18T00:00:00"/>
    <s v="NO"/>
    <s v="SIGUE DE OPERACIÓN"/>
    <s v="SIN NOVEDAD"/>
    <d v="2021-03-15T00:00:00"/>
    <s v="Ingreso de equipo al nuevo formato"/>
    <d v="2021-04-12T00:00:00"/>
    <s v="NO "/>
    <d v="1900-01-05T00:00:00"/>
    <x v="1"/>
  </r>
  <r>
    <x v="2"/>
    <x v="2"/>
    <x v="2"/>
    <x v="9"/>
    <n v="895358"/>
    <d v="2021-05-12T00:00:00"/>
    <s v="NO"/>
    <s v="SIGUE DE OPERACIÓN"/>
    <s v="SIN NOVEDAD"/>
    <d v="2021-03-15T00:00:00"/>
    <s v="Ingreso de equipo al nuevo formato"/>
    <d v="2021-04-12T00:00:00"/>
    <s v="NO"/>
    <d v="1900-01-29T00:00:00"/>
    <x v="0"/>
  </r>
  <r>
    <x v="3"/>
    <x v="2"/>
    <x v="0"/>
    <x v="5"/>
    <n v="36778"/>
    <d v="2021-05-21T00:00:00"/>
    <s v="NO"/>
    <s v="SIGUE DE OPERACIÓN"/>
    <s v="SIN NOVEDAD"/>
    <d v="2021-03-15T00:00:00"/>
    <s v="Ingreso de equipo al nuevo formato"/>
    <d v="2021-04-12T00:00:00"/>
    <s v="NO"/>
    <d v="1900-02-07T00:00:00"/>
    <x v="0"/>
  </r>
  <r>
    <x v="3"/>
    <x v="2"/>
    <x v="1"/>
    <x v="3"/>
    <s v="6C00058443"/>
    <d v="2021-05-22T00:00:00"/>
    <s v="NO"/>
    <s v="SIGUE DE OPERACIÓN"/>
    <s v="SIN NOVEDAD"/>
    <d v="2021-03-15T00:00:00"/>
    <s v="Ingreso de equipo al nuevo formato"/>
    <d v="2021-04-12T00:00:00"/>
    <s v="NO"/>
    <d v="1900-02-08T00:00:00"/>
    <x v="0"/>
  </r>
  <r>
    <x v="3"/>
    <x v="2"/>
    <x v="0"/>
    <x v="5"/>
    <s v="36775"/>
    <d v="2021-06-17T00:00:00"/>
    <s v="NO"/>
    <s v="SIGUE DE OPERACIÓN"/>
    <s v="SIN NOVEDAD"/>
    <d v="2021-03-15T00:00:00"/>
    <s v="Ingreso de equipo al nuevo formato"/>
    <d v="2021-04-12T00:00:00"/>
    <s v="NO"/>
    <d v="1900-03-06T00:00:00"/>
    <x v="0"/>
  </r>
  <r>
    <x v="3"/>
    <x v="2"/>
    <x v="2"/>
    <x v="7"/>
    <s v="0041011G"/>
    <d v="2021-06-25T00:00:00"/>
    <s v="NO"/>
    <s v="SIGUE DE OPERACIÓN"/>
    <s v="SIN NOVEDAD"/>
    <d v="2021-03-15T00:00:00"/>
    <s v="Ingreso de equipo al nuevo formato"/>
    <d v="2021-04-12T00:00:00"/>
    <s v="NO"/>
    <d v="1900-03-14T00:00:00"/>
    <x v="0"/>
  </r>
  <r>
    <x v="3"/>
    <x v="2"/>
    <x v="1"/>
    <x v="3"/>
    <s v="6C00058442"/>
    <d v="2021-06-30T00:00:00"/>
    <s v="NO"/>
    <s v="SIGUE DE OPERACIÓN"/>
    <s v="SIN NOVEDAD"/>
    <d v="2021-03-15T00:00:00"/>
    <s v="Ingreso de equipo al nuevo formato"/>
    <d v="2021-04-12T00:00:00"/>
    <s v="NO"/>
    <d v="1900-03-19T00:00:00"/>
    <x v="0"/>
  </r>
  <r>
    <x v="3"/>
    <x v="2"/>
    <x v="1"/>
    <x v="11"/>
    <s v="660144242037502(8)"/>
    <d v="2021-06-30T00:00:00"/>
    <s v="NO"/>
    <s v="SIGUE DE OPERACIÓN"/>
    <s v="SIN NOVEDAD"/>
    <d v="2021-03-15T00:00:00"/>
    <s v="Ingreso de equipo al nuevo formato"/>
    <d v="2021-04-12T00:00:00"/>
    <s v="NO"/>
    <d v="1900-03-19T00:00:00"/>
    <x v="0"/>
  </r>
  <r>
    <x v="3"/>
    <x v="2"/>
    <x v="0"/>
    <x v="5"/>
    <n v="36776"/>
    <d v="2021-07-03T00:00:00"/>
    <s v="NO"/>
    <s v="SIGUE DE OPERACIÓN"/>
    <s v="SIN NOVEDAD"/>
    <d v="2021-03-15T00:00:00"/>
    <s v="Ingreso de equipo al nuevo formato"/>
    <d v="2021-04-12T00:00:00"/>
    <s v="NO"/>
    <d v="1900-03-22T00:00:00"/>
    <x v="0"/>
  </r>
  <r>
    <x v="3"/>
    <x v="2"/>
    <x v="2"/>
    <x v="9"/>
    <n v="896769"/>
    <d v="2021-07-17T00:00:00"/>
    <s v="NO"/>
    <s v="SIGUE DE OPERACIÓN"/>
    <s v="SIN NOVEDAD"/>
    <d v="2021-03-15T00:00:00"/>
    <s v="Ingreso de equipo al nuevo formato"/>
    <d v="2021-04-12T00:00:00"/>
    <s v="NO"/>
    <d v="1900-04-05T00:00:00"/>
    <x v="0"/>
  </r>
  <r>
    <x v="3"/>
    <x v="2"/>
    <x v="2"/>
    <x v="9"/>
    <n v="896775"/>
    <d v="2021-07-17T00:00:00"/>
    <s v="NO"/>
    <s v="SIGUE DE OPERACIÓN"/>
    <s v="SIN NOVEDAD"/>
    <d v="2021-03-15T00:00:00"/>
    <s v="Ingreso de equipo al nuevo formato"/>
    <d v="2021-04-12T00:00:00"/>
    <s v="NO"/>
    <d v="1900-04-05T00:00:00"/>
    <x v="0"/>
  </r>
  <r>
    <x v="2"/>
    <x v="2"/>
    <x v="2"/>
    <x v="9"/>
    <n v="895359"/>
    <d v="2021-07-21T00:00:00"/>
    <s v="NO"/>
    <s v="SIGUE DE OPERACIÓN"/>
    <s v="SIN NOVEDAD"/>
    <d v="2021-03-15T00:00:00"/>
    <s v="Ingreso de equipo al nuevo formato"/>
    <d v="2021-04-12T00:00:00"/>
    <s v="NO"/>
    <d v="1900-04-09T00:00:00"/>
    <x v="0"/>
  </r>
  <r>
    <x v="2"/>
    <x v="2"/>
    <x v="2"/>
    <x v="9"/>
    <n v="895356"/>
    <d v="2021-08-31T00:00:00"/>
    <s v="NO"/>
    <s v="SIGUE DE OPERACIÓN"/>
    <s v="SIN NOVEDAD"/>
    <d v="2021-03-15T00:00:00"/>
    <s v="Ingreso de equipo al nuevo formato"/>
    <d v="2021-04-12T00:00:00"/>
    <s v="NO"/>
    <d v="1900-05-20T00:00:00"/>
    <x v="0"/>
  </r>
  <r>
    <x v="2"/>
    <x v="2"/>
    <x v="2"/>
    <x v="9"/>
    <n v="895354"/>
    <d v="2021-08-31T00:00:00"/>
    <s v="NO"/>
    <s v="SIGUE DE OPERACIÓN"/>
    <s v="SIN NOVEDAD"/>
    <d v="2021-03-15T00:00:00"/>
    <s v="Ingreso de equipo al nuevo formato"/>
    <d v="2021-04-12T00:00:00"/>
    <s v="NO"/>
    <d v="1900-05-20T00:00:00"/>
    <x v="0"/>
  </r>
  <r>
    <x v="2"/>
    <x v="2"/>
    <x v="2"/>
    <x v="9"/>
    <n v="896763"/>
    <d v="2021-09-26T00:00:00"/>
    <s v="NO"/>
    <s v="SIGUE DE OPERACIÓN"/>
    <s v="SIN NOVEDAD"/>
    <d v="2021-03-15T00:00:00"/>
    <s v="Ingreso de equipo al nuevo formato"/>
    <d v="2021-04-12T00:00:00"/>
    <s v="NO"/>
    <d v="1900-06-15T00:00:00"/>
    <x v="0"/>
  </r>
  <r>
    <x v="2"/>
    <x v="2"/>
    <x v="2"/>
    <x v="9"/>
    <n v="896767"/>
    <d v="2021-09-26T00:00:00"/>
    <s v="NO"/>
    <s v="SIGUE DE OPERACIÓN"/>
    <s v="SIN NOVEDAD"/>
    <d v="2021-03-15T00:00:00"/>
    <s v="Ingreso de equipo al nuevo formato"/>
    <d v="2021-04-12T00:00:00"/>
    <s v="NO"/>
    <d v="1900-06-15T00:00:00"/>
    <x v="0"/>
  </r>
  <r>
    <x v="2"/>
    <x v="2"/>
    <x v="2"/>
    <x v="9"/>
    <n v="896764"/>
    <d v="2021-09-26T00:00:00"/>
    <s v="NO"/>
    <s v="SIGUE DE OPERACIÓN"/>
    <s v="SIN NOVEDAD"/>
    <d v="2021-03-15T00:00:00"/>
    <s v="Ingreso de equipo al nuevo formato"/>
    <d v="2021-04-12T00:00:00"/>
    <s v="NO"/>
    <d v="1900-06-15T00:00:00"/>
    <x v="0"/>
  </r>
  <r>
    <x v="2"/>
    <x v="2"/>
    <x v="2"/>
    <x v="9"/>
    <s v="896774"/>
    <d v="2021-09-26T00:00:00"/>
    <s v="NO"/>
    <s v="SIGUE DE OPERACIÓN"/>
    <s v="SIN NOVEDAD"/>
    <d v="2021-03-15T00:00:00"/>
    <s v="Ingreso de equipo al nuevo formato"/>
    <d v="2021-04-12T00:00:00"/>
    <s v="NO"/>
    <d v="1900-06-15T00:00:00"/>
    <x v="0"/>
  </r>
  <r>
    <x v="2"/>
    <x v="2"/>
    <x v="1"/>
    <x v="12"/>
    <s v="3000070374"/>
    <d v="2021-10-14T00:00:00"/>
    <s v="NO"/>
    <s v="SIGUE DE OPERACIÓN"/>
    <s v="SIN NOVEDAD"/>
    <d v="2021-03-15T00:00:00"/>
    <s v="Ingreso de equipo al nuevo formato"/>
    <d v="2021-04-12T00:00:00"/>
    <s v="NO"/>
    <d v="1900-07-03T00:00:00"/>
    <x v="0"/>
  </r>
  <r>
    <x v="2"/>
    <x v="2"/>
    <x v="1"/>
    <x v="12"/>
    <s v="1000883207"/>
    <d v="2021-10-15T00:00:00"/>
    <s v="NO"/>
    <s v="SIGUE DE OPERACIÓN"/>
    <s v="SIN NOVEDAD"/>
    <d v="2021-03-15T00:00:00"/>
    <s v="Ingreso de equipo al nuevo formato"/>
    <d v="2021-04-12T00:00:00"/>
    <s v="NO"/>
    <d v="1900-07-04T00:00:00"/>
    <x v="0"/>
  </r>
  <r>
    <x v="3"/>
    <x v="2"/>
    <x v="2"/>
    <x v="7"/>
    <s v="005100XD"/>
    <d v="2021-11-16T00:00:00"/>
    <s v="NO"/>
    <s v="SIGUE DE OPERACIÓN"/>
    <s v="SIN NOVEDAD"/>
    <d v="2021-03-15T00:00:00"/>
    <s v="Ingreso de equipo al nuevo formato"/>
    <d v="2021-04-12T00:00:00"/>
    <s v="NO"/>
    <d v="1900-08-05T00:00:00"/>
    <x v="0"/>
  </r>
  <r>
    <x v="3"/>
    <x v="2"/>
    <x v="2"/>
    <x v="7"/>
    <s v="013400JL"/>
    <d v="2021-11-26T00:00:00"/>
    <s v="NO"/>
    <s v="SIGUE DE OPERACIÓN"/>
    <s v="SIN NOVEDAD"/>
    <d v="2021-03-15T00:00:00"/>
    <s v="Ingreso de equipo al nuevo formato"/>
    <d v="2021-04-12T00:00:00"/>
    <s v="NO"/>
    <d v="1900-08-15T00:00:00"/>
    <x v="0"/>
  </r>
  <r>
    <x v="2"/>
    <x v="2"/>
    <x v="2"/>
    <x v="9"/>
    <n v="873784"/>
    <d v="2022-03-04T00:00:00"/>
    <s v="NO"/>
    <s v="SIGUE DE OPERACIÓN"/>
    <s v="SIN NOVEDAD"/>
    <d v="2021-03-15T00:00:00"/>
    <s v="Ingreso de equipo al nuevo formato"/>
    <d v="2021-04-12T00:00:00"/>
    <s v="NO"/>
    <d v="1900-11-21T00:00:00"/>
    <x v="0"/>
  </r>
  <r>
    <x v="2"/>
    <x v="2"/>
    <x v="2"/>
    <x v="9"/>
    <n v="896765"/>
    <d v="2022-03-04T00:00:00"/>
    <s v="NO"/>
    <s v="SIGUE DE OPERACIÓN"/>
    <s v="SIN NOVEDAD"/>
    <d v="2021-03-15T00:00:00"/>
    <s v="Ingreso de equipo al nuevo formato"/>
    <d v="2021-04-12T00:00:00"/>
    <s v="NO"/>
    <d v="1900-11-21T00:00:00"/>
    <x v="0"/>
  </r>
  <r>
    <x v="4"/>
    <x v="3"/>
    <x v="1"/>
    <x v="0"/>
    <s v="E5FHA04363"/>
    <d v="2022-03-10T00:00:00"/>
    <s v="NO"/>
    <s v="SIGUE DE OPERACIÓN"/>
    <s v="SIN NOVEDAD"/>
    <d v="2021-03-15T00:00:00"/>
    <s v="Ingreso de equipo al nuevo formato"/>
    <d v="2021-04-12T00:00:00"/>
    <s v="NO"/>
    <d v="1900-11-27T00:00:00"/>
    <x v="0"/>
  </r>
  <r>
    <x v="4"/>
    <x v="3"/>
    <x v="1"/>
    <x v="13"/>
    <s v="E5FHA04375"/>
    <d v="2021-11-25T00:00:00"/>
    <s v="NO"/>
    <s v="SIGUE DE OPERACIÓN"/>
    <s v="SIN NOVEDAD"/>
    <d v="2021-03-15T00:00:00"/>
    <s v="Ingreso de equipo al nuevo formato"/>
    <d v="2021-04-12T00:00:00"/>
    <s v="NO"/>
    <d v="1900-08-14T00:00:00"/>
    <x v="0"/>
  </r>
  <r>
    <x v="4"/>
    <x v="3"/>
    <x v="0"/>
    <x v="0"/>
    <s v="207H190330035"/>
    <d v="2022-02-05T00:00:00"/>
    <s v="NO"/>
    <s v="SIGUE DE OPERACIÓN"/>
    <s v="SIN NOVEDAD"/>
    <d v="2021-03-15T00:00:00"/>
    <s v="Ingreso de equipo al nuevo formato"/>
    <d v="2021-04-12T00:00:00"/>
    <s v="NO"/>
    <d v="1900-10-25T00:00:00"/>
    <x v="0"/>
  </r>
  <r>
    <x v="4"/>
    <x v="3"/>
    <x v="0"/>
    <x v="14"/>
    <n v="1001"/>
    <d v="2022-03-02T00:00:00"/>
    <s v="NO"/>
    <s v="SIGUE DE OPERACIÓN"/>
    <s v="SIN NOVEDAD"/>
    <d v="2021-03-15T00:00:00"/>
    <s v="Ingreso de equipo al nuevo formato"/>
    <d v="2021-04-12T00:00:00"/>
    <s v="NO"/>
    <d v="1900-11-19T00:00:00"/>
    <x v="0"/>
  </r>
  <r>
    <x v="4"/>
    <x v="3"/>
    <x v="0"/>
    <x v="15"/>
    <n v="3074"/>
    <d v="2021-09-18T00:00:00"/>
    <s v="NO"/>
    <s v="SIGUE DE OPERACIÓN"/>
    <s v="SIN NOVEDAD"/>
    <d v="2021-03-15T00:00:00"/>
    <s v="Ingreso de equipo al nuevo formato"/>
    <d v="2021-04-12T00:00:00"/>
    <s v="NO"/>
    <d v="1900-06-07T00:00:00"/>
    <x v="0"/>
  </r>
  <r>
    <x v="4"/>
    <x v="3"/>
    <x v="0"/>
    <x v="16"/>
    <n v="2801001102081"/>
    <d v="2022-03-01T00:00:00"/>
    <s v="NO"/>
    <s v="SIGUE DE OPERACIÓN"/>
    <s v="SIN NOVEDAD"/>
    <d v="2021-03-15T00:00:00"/>
    <s v="Ingreso de equipo al nuevo formato"/>
    <d v="2021-04-12T00:00:00"/>
    <s v="NO"/>
    <d v="1900-11-18T00:00:00"/>
    <x v="0"/>
  </r>
  <r>
    <x v="4"/>
    <x v="3"/>
    <x v="0"/>
    <x v="14"/>
    <s v="S8B2BAGWM267YGLV"/>
    <d v="2021-11-05T00:00:00"/>
    <s v="NO"/>
    <s v="SIGUE DE OPERACIÓN"/>
    <s v="SIN NOVEDAD"/>
    <d v="2021-03-15T00:00:00"/>
    <s v="Ingreso de equipo al nuevo formato"/>
    <d v="2021-04-12T00:00:00"/>
    <s v="NO"/>
    <d v="1900-07-25T00:00:00"/>
    <x v="0"/>
  </r>
  <r>
    <x v="4"/>
    <x v="3"/>
    <x v="0"/>
    <x v="17"/>
    <n v="44938534007"/>
    <d v="2022-02-14T00:00:00"/>
    <s v="NO"/>
    <s v="SIGUE DE OPERACIÓN"/>
    <s v="SIN NOVEDAD"/>
    <d v="2021-03-15T00:00:00"/>
    <s v="Ingreso de equipo al nuevo formato"/>
    <d v="2021-04-12T00:00:00"/>
    <s v="NO"/>
    <d v="1900-11-03T00:00:00"/>
    <x v="0"/>
  </r>
  <r>
    <x v="4"/>
    <x v="3"/>
    <x v="0"/>
    <x v="16"/>
    <n v="19114117"/>
    <d v="2021-05-16T00:00:00"/>
    <s v="NO"/>
    <s v="SIGUE DE OPERACIÓN"/>
    <s v="SIN NOVEDAD"/>
    <d v="2021-03-15T00:00:00"/>
    <s v="Ingreso de equipo al nuevo formato"/>
    <d v="2021-04-12T00:00:00"/>
    <s v="NO"/>
    <d v="1900-02-02T00:00:00"/>
    <x v="0"/>
  </r>
  <r>
    <x v="4"/>
    <x v="3"/>
    <x v="0"/>
    <x v="18"/>
    <s v="V01A19029925"/>
    <d v="2021-05-18T00:00:00"/>
    <s v="NO"/>
    <s v="SIGUE DE OPERACIÓN"/>
    <s v="SIN NOVEDAD"/>
    <d v="2021-03-15T00:00:00"/>
    <s v="Ingreso de equipo al nuevo formato"/>
    <d v="2021-04-12T00:00:00"/>
    <s v="NO"/>
    <d v="1900-02-04T00:00:00"/>
    <x v="0"/>
  </r>
  <r>
    <x v="4"/>
    <x v="3"/>
    <x v="1"/>
    <x v="19"/>
    <n v="1301492"/>
    <d v="2021-05-30T00:00:00"/>
    <s v="NO"/>
    <s v="SIGUE DE OPERACIÓN"/>
    <s v="SIN NOVEDAD"/>
    <d v="2021-03-15T00:00:00"/>
    <s v="Ingreso de equipo al nuevo formato"/>
    <d v="2021-04-12T00:00:00"/>
    <s v="NO"/>
    <d v="1900-02-16T00:00:00"/>
    <x v="0"/>
  </r>
  <r>
    <x v="4"/>
    <x v="3"/>
    <x v="0"/>
    <x v="0"/>
    <s v="V03F20076122"/>
    <d v="2021-06-01T00:00:00"/>
    <s v="NO"/>
    <s v="SIGUE DE OPERACIÓN"/>
    <s v="SIN NOVEDAD"/>
    <d v="2021-03-15T00:00:00"/>
    <s v="Ingreso de equipo al nuevo formato"/>
    <d v="2021-04-12T00:00:00"/>
    <s v="NO"/>
    <d v="1900-02-18T00:00:00"/>
    <x v="0"/>
  </r>
  <r>
    <x v="4"/>
    <x v="3"/>
    <x v="1"/>
    <x v="10"/>
    <n v="120509"/>
    <d v="2021-06-03T00:00:00"/>
    <s v="NO"/>
    <s v="SIGUE DE OPERACIÓN"/>
    <s v="SIN NOVEDAD"/>
    <d v="2021-03-15T00:00:00"/>
    <s v="Ingreso de equipo al nuevo formato"/>
    <d v="2021-04-12T00:00:00"/>
    <s v="NO"/>
    <d v="1900-02-20T00:00:00"/>
    <x v="0"/>
  </r>
  <r>
    <x v="4"/>
    <x v="3"/>
    <x v="0"/>
    <x v="20"/>
    <n v="3091013109135"/>
    <d v="2021-06-08T00:00:00"/>
    <s v="NO"/>
    <s v="SIGUE DE OPERACIÓN"/>
    <s v="SIN NOVEDAD"/>
    <d v="2021-03-15T00:00:00"/>
    <s v="Ingreso de equipo al nuevo formato"/>
    <d v="2021-04-12T00:00:00"/>
    <s v="NO"/>
    <d v="1900-02-25T00:00:00"/>
    <x v="0"/>
  </r>
  <r>
    <x v="4"/>
    <x v="3"/>
    <x v="1"/>
    <x v="21"/>
    <n v="789568"/>
    <d v="2021-06-08T00:00:00"/>
    <s v="NO"/>
    <s v="SIGUE DE OPERACIÓN"/>
    <s v="SIN NOVEDAD"/>
    <d v="2021-03-15T00:00:00"/>
    <s v="Ingreso de equipo al nuevo formato"/>
    <d v="2021-04-12T00:00:00"/>
    <s v="NO"/>
    <d v="1900-02-25T00:00:00"/>
    <x v="0"/>
  </r>
  <r>
    <x v="4"/>
    <x v="3"/>
    <x v="0"/>
    <x v="0"/>
    <n v="6601651550469190"/>
    <d v="2021-06-15T00:00:00"/>
    <s v="NO"/>
    <s v="SIGUE DE OPERACIÓN"/>
    <s v="SIN NOVEDAD"/>
    <d v="2021-03-15T00:00:00"/>
    <s v="Ingreso de equipo al nuevo formato"/>
    <d v="2021-04-12T00:00:00"/>
    <s v="NO"/>
    <d v="1900-03-04T00:00:00"/>
    <x v="0"/>
  </r>
  <r>
    <x v="4"/>
    <x v="3"/>
    <x v="1"/>
    <x v="0"/>
    <n v="6601651550469200"/>
    <d v="2021-06-15T00:00:00"/>
    <s v="NO"/>
    <s v="SIGUE DE OPERACIÓN"/>
    <s v="SIN NOVEDAD"/>
    <d v="2021-03-15T00:00:00"/>
    <s v="Ingreso de equipo al nuevo formato"/>
    <d v="2021-04-12T00:00:00"/>
    <s v="NO"/>
    <d v="1900-03-04T00:00:00"/>
    <x v="0"/>
  </r>
  <r>
    <x v="4"/>
    <x v="3"/>
    <x v="0"/>
    <x v="22"/>
    <n v="2708190323"/>
    <d v="2021-06-18T00:00:00"/>
    <s v="NO"/>
    <s v="SIGUE DE OPERACIÓN"/>
    <s v="SIN NOVEDAD"/>
    <d v="2021-03-15T00:00:00"/>
    <s v="Ingreso de equipo al nuevo formato"/>
    <d v="2021-04-12T00:00:00"/>
    <s v="NO"/>
    <d v="1900-03-07T00:00:00"/>
    <x v="0"/>
  </r>
  <r>
    <x v="4"/>
    <x v="3"/>
    <x v="0"/>
    <x v="22"/>
    <n v="27080079323"/>
    <d v="2021-06-18T00:00:00"/>
    <s v="NO"/>
    <s v="SIGUE DE OPERACIÓN"/>
    <s v="SIN NOVEDAD"/>
    <d v="2021-03-15T00:00:00"/>
    <s v="Ingreso de equipo al nuevo formato"/>
    <d v="2021-04-12T00:00:00"/>
    <s v="NO"/>
    <d v="1900-03-07T00:00:00"/>
    <x v="0"/>
  </r>
  <r>
    <x v="4"/>
    <x v="3"/>
    <x v="0"/>
    <x v="0"/>
    <s v="108H181128583"/>
    <d v="2021-07-22T00:00:00"/>
    <s v="NO"/>
    <s v="SIGUE DE OPERACIÓN"/>
    <s v="SIN NOVEDAD"/>
    <d v="2021-03-15T00:00:00"/>
    <s v="Ingreso de equipo al nuevo formato"/>
    <d v="2021-04-12T00:00:00"/>
    <s v="NO"/>
    <d v="1900-04-10T00:00:00"/>
    <x v="0"/>
  </r>
  <r>
    <x v="4"/>
    <x v="3"/>
    <x v="1"/>
    <x v="21"/>
    <n v="594318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4"/>
    <x v="3"/>
    <x v="0"/>
    <x v="16"/>
    <n v="19011159"/>
    <d v="2021-08-06T00:00:00"/>
    <s v="NO"/>
    <s v="SIGUE DE OPERACIÓN"/>
    <s v="SIN NOVEDAD"/>
    <d v="2021-03-15T00:00:00"/>
    <s v="Ingreso de equipo al nuevo formato"/>
    <d v="2021-04-12T00:00:00"/>
    <s v="NO"/>
    <d v="1900-04-25T00:00:00"/>
    <x v="0"/>
  </r>
  <r>
    <x v="4"/>
    <x v="3"/>
    <x v="0"/>
    <x v="14"/>
    <n v="10187"/>
    <d v="2021-08-10T00:00:00"/>
    <s v="NO"/>
    <s v="SIGUE DE OPERACIÓN"/>
    <s v="SIN NOVEDAD"/>
    <d v="2021-03-15T00:00:00"/>
    <s v="Ingreso de equipo al nuevo formato"/>
    <d v="2021-04-12T00:00:00"/>
    <s v="NO"/>
    <d v="1900-04-29T00:00:00"/>
    <x v="0"/>
  </r>
  <r>
    <x v="4"/>
    <x v="3"/>
    <x v="1"/>
    <x v="23"/>
    <s v="6C00117885-9"/>
    <d v="2021-08-10T00:00:00"/>
    <s v="NO"/>
    <s v="SIGUE DE OPERACIÓN"/>
    <s v="SIN NOVEDAD"/>
    <d v="2021-03-15T00:00:00"/>
    <s v="Ingreso de equipo al nuevo formato"/>
    <d v="2021-04-12T00:00:00"/>
    <s v="NO"/>
    <d v="1900-04-29T00:00:00"/>
    <x v="0"/>
  </r>
  <r>
    <x v="4"/>
    <x v="3"/>
    <x v="0"/>
    <x v="24"/>
    <n v="6003140404105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4"/>
    <x v="3"/>
    <x v="1"/>
    <x v="25"/>
    <s v="FYSI01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4"/>
    <x v="3"/>
    <x v="1"/>
    <x v="26"/>
    <n v="136"/>
    <d v="2021-08-22T00:00:00"/>
    <s v="NO"/>
    <s v="SIGUE DE OPERACIÓN"/>
    <s v="SIN NOVEDAD"/>
    <d v="2021-03-15T00:00:00"/>
    <s v="Ingreso de equipo al nuevo formato"/>
    <d v="2021-04-12T00:00:00"/>
    <s v="NO"/>
    <d v="1900-05-11T00:00:00"/>
    <x v="0"/>
  </r>
  <r>
    <x v="4"/>
    <x v="3"/>
    <x v="1"/>
    <x v="21"/>
    <n v="706037"/>
    <d v="2021-08-28T00:00:00"/>
    <s v="NO"/>
    <s v="SIGUE DE OPERACIÓN"/>
    <s v="SIN NOVEDAD"/>
    <d v="2021-03-15T00:00:00"/>
    <s v="Ingreso de equipo al nuevo formato"/>
    <d v="2021-04-12T00:00:00"/>
    <s v="NO"/>
    <d v="1900-05-17T00:00:00"/>
    <x v="0"/>
  </r>
  <r>
    <x v="4"/>
    <x v="3"/>
    <x v="0"/>
    <x v="27"/>
    <s v="5C04912011"/>
    <d v="2021-08-31T00:00:00"/>
    <s v="NO"/>
    <s v="SIGUE DE OPERACIÓN"/>
    <s v="SIN NOVEDAD"/>
    <d v="2021-03-15T00:00:00"/>
    <s v="Ingreso de equipo al nuevo formato"/>
    <d v="2021-04-12T00:00:00"/>
    <s v="NO"/>
    <d v="1900-05-20T00:00:00"/>
    <x v="0"/>
  </r>
  <r>
    <x v="4"/>
    <x v="3"/>
    <x v="1"/>
    <x v="19"/>
    <n v="1203271"/>
    <d v="2021-09-15T00:00:00"/>
    <s v="NO"/>
    <s v="SIGUE DE OPERACIÓN"/>
    <s v="SIN NOVEDAD"/>
    <d v="2021-03-15T00:00:00"/>
    <s v="Ingreso de equipo al nuevo formato"/>
    <d v="2021-04-12T00:00:00"/>
    <s v="NO"/>
    <d v="1900-06-04T00:00:00"/>
    <x v="0"/>
  </r>
  <r>
    <x v="4"/>
    <x v="3"/>
    <x v="1"/>
    <x v="28"/>
    <n v="1606165"/>
    <d v="2021-09-15T00:00:00"/>
    <s v="NO"/>
    <s v="SIGUE DE OPERACIÓN"/>
    <s v="SIN NOVEDAD"/>
    <d v="2021-03-15T00:00:00"/>
    <s v="Ingreso de equipo al nuevo formato"/>
    <d v="2021-04-12T00:00:00"/>
    <s v="NO"/>
    <d v="1900-06-04T00:00:00"/>
    <x v="0"/>
  </r>
  <r>
    <x v="4"/>
    <x v="3"/>
    <x v="0"/>
    <x v="0"/>
    <s v="108H181128563"/>
    <d v="2021-09-17T00:00:00"/>
    <s v="NO"/>
    <s v="SIGUE DE OPERACIÓN"/>
    <s v="SIN NOVEDAD"/>
    <d v="2021-03-15T00:00:00"/>
    <s v="Ingreso de equipo al nuevo formato"/>
    <d v="2021-04-12T00:00:00"/>
    <s v="NO"/>
    <d v="1900-06-06T00:00:00"/>
    <x v="0"/>
  </r>
  <r>
    <x v="4"/>
    <x v="3"/>
    <x v="1"/>
    <x v="29"/>
    <n v="6887"/>
    <d v="2021-09-17T00:00:00"/>
    <s v="NO"/>
    <s v="SIGUE DE OPERACIÓN"/>
    <s v="SIN NOVEDAD"/>
    <d v="2021-03-15T00:00:00"/>
    <s v="Ingreso de equipo al nuevo formato"/>
    <d v="2021-04-12T00:00:00"/>
    <s v="NO"/>
    <d v="1900-06-06T00:00:00"/>
    <x v="0"/>
  </r>
  <r>
    <x v="4"/>
    <x v="3"/>
    <x v="1"/>
    <x v="22"/>
    <n v="2727107323"/>
    <d v="2021-09-23T00:00:00"/>
    <s v="NO"/>
    <s v="SIGUE DE OPERACIÓN"/>
    <s v="SIN NOVEDAD"/>
    <d v="2021-03-15T00:00:00"/>
    <s v="Ingreso de equipo al nuevo formato"/>
    <d v="2021-04-12T00:00:00"/>
    <s v="NO"/>
    <d v="1900-06-12T00:00:00"/>
    <x v="0"/>
  </r>
  <r>
    <x v="4"/>
    <x v="3"/>
    <x v="0"/>
    <x v="29"/>
    <s v="E136FB-1260"/>
    <d v="2021-09-23T00:00:00"/>
    <s v="NO"/>
    <s v="SIGUE DE OPERACIÓN"/>
    <s v="SIN NOVEDAD"/>
    <d v="2021-03-15T00:00:00"/>
    <s v="Ingreso de equipo al nuevo formato"/>
    <d v="2021-04-12T00:00:00"/>
    <s v="NO"/>
    <d v="1900-06-12T00:00:00"/>
    <x v="0"/>
  </r>
  <r>
    <x v="4"/>
    <x v="3"/>
    <x v="1"/>
    <x v="29"/>
    <n v="6989"/>
    <d v="2021-09-30T00:00:00"/>
    <s v="NO"/>
    <s v="SIGUE DE OPERACIÓN"/>
    <s v="SIN NOVEDAD"/>
    <d v="2021-03-15T00:00:00"/>
    <s v="Ingreso de equipo al nuevo formato"/>
    <d v="2021-04-12T00:00:00"/>
    <s v="NO"/>
    <d v="1900-06-19T00:00:00"/>
    <x v="0"/>
  </r>
  <r>
    <x v="4"/>
    <x v="3"/>
    <x v="1"/>
    <x v="29"/>
    <n v="30081"/>
    <d v="2021-10-01T00:00:00"/>
    <s v="NO"/>
    <s v="SIGUE DE OPERACIÓN"/>
    <s v="SIN NOVEDAD"/>
    <d v="2021-03-15T00:00:00"/>
    <s v="Ingreso de equipo al nuevo formato"/>
    <d v="2021-04-12T00:00:00"/>
    <s v="NO"/>
    <d v="1900-06-20T00:00:00"/>
    <x v="0"/>
  </r>
  <r>
    <x v="4"/>
    <x v="3"/>
    <x v="1"/>
    <x v="29"/>
    <n v="26857"/>
    <d v="2021-10-01T00:00:00"/>
    <s v="NO"/>
    <s v="SIGUE DE OPERACIÓN"/>
    <s v="SIN NOVEDAD"/>
    <d v="2021-03-15T00:00:00"/>
    <s v="Ingreso de equipo al nuevo formato"/>
    <d v="2021-04-12T00:00:00"/>
    <s v="NO"/>
    <d v="1900-06-20T00:00:00"/>
    <x v="0"/>
  </r>
  <r>
    <x v="4"/>
    <x v="3"/>
    <x v="0"/>
    <x v="22"/>
    <n v="2727106323"/>
    <d v="2021-10-03T00:00:00"/>
    <s v="NO"/>
    <s v="SIGUE DE OPERACIÓN"/>
    <s v="SIN NOVEDAD"/>
    <d v="2021-03-15T00:00:00"/>
    <s v="Ingreso de equipo al nuevo formato"/>
    <d v="2021-04-12T00:00:00"/>
    <s v="NO"/>
    <d v="1900-06-22T00:00:00"/>
    <x v="0"/>
  </r>
  <r>
    <x v="4"/>
    <x v="3"/>
    <x v="1"/>
    <x v="29"/>
    <n v="1249"/>
    <d v="2021-10-03T00:00:00"/>
    <s v="NO"/>
    <s v="SIGUE DE OPERACIÓN"/>
    <s v="SIN NOVEDAD"/>
    <d v="2021-03-15T00:00:00"/>
    <s v="Ingreso de equipo al nuevo formato"/>
    <d v="2021-04-12T00:00:00"/>
    <s v="NO"/>
    <d v="1900-06-22T00:00:00"/>
    <x v="0"/>
  </r>
  <r>
    <x v="4"/>
    <x v="3"/>
    <x v="0"/>
    <x v="14"/>
    <s v="HZPE2AMTGM2LDE9H"/>
    <d v="2021-10-06T00:00:00"/>
    <s v="NO"/>
    <s v="SIGUE DE OPERACIÓN"/>
    <s v="SIN NOVEDAD"/>
    <d v="2021-03-15T00:00:00"/>
    <s v="Ingreso de equipo al nuevo formato"/>
    <d v="2021-04-12T00:00:00"/>
    <s v="NO"/>
    <d v="1900-06-25T00:00:00"/>
    <x v="0"/>
  </r>
  <r>
    <x v="4"/>
    <x v="3"/>
    <x v="0"/>
    <x v="27"/>
    <s v="AE332667152"/>
    <d v="2021-10-07T00:00:00"/>
    <s v="NO"/>
    <s v="SIGUE DE OPERACIÓN"/>
    <s v="SIN NOVEDAD"/>
    <d v="2021-03-15T00:00:00"/>
    <s v="Ingreso de equipo al nuevo formato"/>
    <d v="2021-04-12T00:00:00"/>
    <s v="NO"/>
    <d v="1900-06-26T00:00:00"/>
    <x v="0"/>
  </r>
  <r>
    <x v="4"/>
    <x v="3"/>
    <x v="1"/>
    <x v="30"/>
    <n v="19091902"/>
    <d v="2021-10-07T00:00:00"/>
    <s v="NO"/>
    <s v="SIGUE DE OPERACIÓN"/>
    <s v="SIN NOVEDAD"/>
    <d v="2021-03-15T00:00:00"/>
    <s v="Ingreso de equipo al nuevo formato"/>
    <d v="2021-04-12T00:00:00"/>
    <s v="NO"/>
    <d v="1900-06-26T00:00:00"/>
    <x v="0"/>
  </r>
  <r>
    <x v="4"/>
    <x v="3"/>
    <x v="2"/>
    <x v="7"/>
    <s v="003301SM"/>
    <d v="2021-10-10T00:00:00"/>
    <s v="NO"/>
    <s v="SIGUE DE OPERACIÓN"/>
    <s v="SIN NOVEDAD"/>
    <d v="2021-03-15T00:00:00"/>
    <s v="Ingreso de equipo al nuevo formato"/>
    <d v="2021-04-12T00:00:00"/>
    <s v="NO"/>
    <d v="1900-06-29T00:00:00"/>
    <x v="0"/>
  </r>
  <r>
    <x v="4"/>
    <x v="3"/>
    <x v="2"/>
    <x v="7"/>
    <s v="012201X2"/>
    <d v="2021-10-10T00:00:00"/>
    <s v="NO"/>
    <s v="SIGUE DE OPERACIÓN"/>
    <s v="SIN NOVEDAD"/>
    <d v="2021-03-15T00:00:00"/>
    <s v="Ingreso de equipo al nuevo formato"/>
    <d v="2021-04-12T00:00:00"/>
    <s v="NO"/>
    <d v="1900-06-29T00:00:00"/>
    <x v="0"/>
  </r>
  <r>
    <x v="4"/>
    <x v="3"/>
    <x v="2"/>
    <x v="7"/>
    <s v="023100f7"/>
    <d v="2021-10-10T00:00:00"/>
    <s v="NO"/>
    <s v="SIGUE DE OPERACIÓN"/>
    <s v="SIN NOVEDAD"/>
    <d v="2021-03-15T00:00:00"/>
    <s v="Ingreso de equipo al nuevo formato"/>
    <d v="2021-04-12T00:00:00"/>
    <s v="NO"/>
    <d v="1900-06-29T00:00:00"/>
    <x v="0"/>
  </r>
  <r>
    <x v="4"/>
    <x v="3"/>
    <x v="2"/>
    <x v="7"/>
    <s v="0239001L"/>
    <d v="2021-10-10T00:00:00"/>
    <s v="NO"/>
    <s v="SIGUE DE OPERACIÓN"/>
    <s v="SIN NOVEDAD"/>
    <d v="2021-03-15T00:00:00"/>
    <s v="Ingreso de equipo al nuevo formato"/>
    <d v="2021-04-12T00:00:00"/>
    <s v="NO"/>
    <d v="1900-06-29T00:00:00"/>
    <x v="0"/>
  </r>
  <r>
    <x v="4"/>
    <x v="3"/>
    <x v="1"/>
    <x v="0"/>
    <n v="6601651550479400"/>
    <d v="2021-10-21T00:00:00"/>
    <s v="NO"/>
    <s v="SIGUE DE OPERACIÓN"/>
    <s v="SIN NOVEDAD"/>
    <d v="2021-03-15T00:00:00"/>
    <s v="Ingreso de equipo al nuevo formato"/>
    <d v="2021-04-12T00:00:00"/>
    <s v="NO"/>
    <d v="1900-07-10T00:00:00"/>
    <x v="0"/>
  </r>
  <r>
    <x v="4"/>
    <x v="3"/>
    <x v="2"/>
    <x v="7"/>
    <n v="7350082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002008W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339000J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540005U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603000K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609004C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2"/>
    <x v="7"/>
    <s v="0643004V"/>
    <d v="2021-11-12T00:00:00"/>
    <s v="NO"/>
    <s v="SIGUE DE OPERACIÓN"/>
    <s v="SIN NOVEDAD"/>
    <d v="2021-03-15T00:00:00"/>
    <s v="Ingreso de equipo al nuevo formato"/>
    <d v="2021-04-12T00:00:00"/>
    <s v="NO"/>
    <d v="1900-08-01T00:00:00"/>
    <x v="0"/>
  </r>
  <r>
    <x v="4"/>
    <x v="3"/>
    <x v="1"/>
    <x v="31"/>
    <n v="18082725"/>
    <d v="2021-11-20T00:00:00"/>
    <s v="NO"/>
    <s v="SIGUE DE OPERACIÓN"/>
    <s v="SIN NOVEDAD"/>
    <d v="2021-03-15T00:00:00"/>
    <s v="Ingreso de equipo al nuevo formato"/>
    <d v="2021-04-12T00:00:00"/>
    <s v="NO"/>
    <d v="1900-08-09T00:00:00"/>
    <x v="0"/>
  </r>
  <r>
    <x v="4"/>
    <x v="3"/>
    <x v="0"/>
    <x v="0"/>
    <n v="1709180323"/>
    <d v="2021-11-21T00:00:00"/>
    <s v="NO"/>
    <s v="SIGUE DE OPERACIÓN"/>
    <s v="SIN NOVEDAD"/>
    <d v="2021-03-15T00:00:00"/>
    <s v="Ingreso de equipo al nuevo formato"/>
    <d v="2021-04-12T00:00:00"/>
    <s v="NO"/>
    <d v="1900-08-10T00:00:00"/>
    <x v="0"/>
  </r>
  <r>
    <x v="4"/>
    <x v="3"/>
    <x v="0"/>
    <x v="32"/>
    <n v="40408305609"/>
    <d v="2021-11-25T00:00:00"/>
    <s v="NO"/>
    <s v="SIGUE DE OPERACIÓN"/>
    <s v="SIN NOVEDAD"/>
    <d v="2021-03-15T00:00:00"/>
    <s v="Ingreso de equipo al nuevo formato"/>
    <d v="2021-04-12T00:00:00"/>
    <s v="NO"/>
    <d v="1900-08-14T00:00:00"/>
    <x v="0"/>
  </r>
  <r>
    <x v="4"/>
    <x v="3"/>
    <x v="1"/>
    <x v="13"/>
    <s v="E5SHA04375"/>
    <d v="2021-11-25T00:00:00"/>
    <s v="NO"/>
    <s v="SIGUE DE OPERACIÓN"/>
    <s v="SIN NOVEDAD"/>
    <d v="2021-03-15T00:00:00"/>
    <s v="Ingreso de equipo al nuevo formato"/>
    <d v="2021-04-12T00:00:00"/>
    <s v="NO"/>
    <d v="1900-08-14T00:00:00"/>
    <x v="0"/>
  </r>
  <r>
    <x v="4"/>
    <x v="3"/>
    <x v="0"/>
    <x v="0"/>
    <s v="V01E20029988"/>
    <d v="2023-02-28T00:00:00"/>
    <s v="NO"/>
    <s v="SIGUE DE OPERACIÓN"/>
    <s v="SIN NOVEDAD"/>
    <d v="2021-03-15T00:00:00"/>
    <s v="Ingreso de equipo al nuevo formato"/>
    <d v="2021-04-12T00:00:00"/>
    <s v="NO"/>
    <d v="1901-11-17T00:00:00"/>
    <x v="0"/>
  </r>
  <r>
    <x v="4"/>
    <x v="3"/>
    <x v="0"/>
    <x v="16"/>
    <n v="18060435"/>
    <d v="2021-03-20T00:00:00"/>
    <s v="NO"/>
    <s v="SIGUE DE OPERACIÓN"/>
    <s v="SIN NOVEDAD"/>
    <d v="2021-03-15T00:00:00"/>
    <s v="Ingreso de equipo al nuevo formato"/>
    <d v="2021-04-12T00:00:00"/>
    <s v="SI"/>
    <n v="-23"/>
    <x v="2"/>
  </r>
  <r>
    <x v="3"/>
    <x v="4"/>
    <x v="1"/>
    <x v="3"/>
    <s v="6C00058444"/>
    <d v="2021-03-20T00:00:00"/>
    <s v="NO"/>
    <s v="SIGUE DE OPERACIÓN"/>
    <s v="SIN NOVEDAD"/>
    <d v="2021-03-15T00:00:00"/>
    <s v="Ingreso de equipo al nuevo formato"/>
    <m/>
    <s v="NO"/>
    <d v="2021-03-20T00:00:00"/>
    <x v="0"/>
  </r>
  <r>
    <x v="3"/>
    <x v="4"/>
    <x v="1"/>
    <x v="3"/>
    <n v="6200822296"/>
    <d v="2021-06-16T00:00:00"/>
    <s v="NO"/>
    <s v="SIGUE DE OPERACIÓN"/>
    <s v="SIN NOVEDAD"/>
    <d v="2021-03-15T00:00:00"/>
    <s v="Ingreso de equipo al nuevo formato"/>
    <d v="2021-04-12T00:00:00"/>
    <s v="NO"/>
    <d v="1900-03-05T00:00:00"/>
    <x v="0"/>
  </r>
  <r>
    <x v="3"/>
    <x v="4"/>
    <x v="2"/>
    <x v="9"/>
    <n v="862572"/>
    <d v="2021-06-24T00:00:00"/>
    <s v="NO"/>
    <s v="SIGUE DE OPERACIÓN"/>
    <s v="SIN NOVEDAD"/>
    <d v="2021-03-15T00:00:00"/>
    <s v="Ingreso de equipo al nuevo formato"/>
    <d v="2021-04-12T00:00:00"/>
    <s v="NO"/>
    <d v="1900-03-13T00:00:00"/>
    <x v="0"/>
  </r>
  <r>
    <x v="3"/>
    <x v="4"/>
    <x v="2"/>
    <x v="9"/>
    <n v="897218"/>
    <d v="2021-06-24T00:00:00"/>
    <s v="NO"/>
    <s v="SIGUE DE OPERACIÓN"/>
    <s v="SIN NOVEDAD"/>
    <d v="2021-03-15T00:00:00"/>
    <s v="Ingreso de equipo al nuevo formato"/>
    <d v="2021-04-12T00:00:00"/>
    <s v="NO"/>
    <d v="1900-03-13T00:00:00"/>
    <x v="0"/>
  </r>
  <r>
    <x v="3"/>
    <x v="4"/>
    <x v="2"/>
    <x v="9"/>
    <n v="896770"/>
    <d v="2021-07-21T00:00:00"/>
    <s v="NO"/>
    <s v="SIGUE DE OPERACIÓN"/>
    <s v="SIN NOVEDAD"/>
    <d v="2021-03-15T00:00:00"/>
    <s v="Ingreso de equipo al nuevo formato"/>
    <d v="2021-04-12T00:00:00"/>
    <s v="NO"/>
    <d v="1900-04-09T00:00:00"/>
    <x v="0"/>
  </r>
  <r>
    <x v="3"/>
    <x v="4"/>
    <x v="0"/>
    <x v="0"/>
    <s v="207H180524512"/>
    <d v="2021-08-11T00:00:00"/>
    <s v="NO"/>
    <s v="SIGUE DE OPERACIÓN"/>
    <s v="SIN NOVEDAD"/>
    <d v="2021-03-15T00:00:00"/>
    <s v="Ingreso de equipo al nuevo formato"/>
    <d v="2021-04-12T00:00:00"/>
    <s v="NO"/>
    <d v="1900-04-30T00:00:00"/>
    <x v="0"/>
  </r>
  <r>
    <x v="3"/>
    <x v="4"/>
    <x v="2"/>
    <x v="9"/>
    <n v="876488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3"/>
    <x v="4"/>
    <x v="2"/>
    <x v="9"/>
    <n v="881303"/>
    <d v="2021-09-02T00:00:00"/>
    <s v="NO"/>
    <s v="SIGUE DE OPERACIÓN"/>
    <s v="SIN NOVEDAD"/>
    <d v="2021-03-15T00:00:00"/>
    <s v="Ingreso de equipo al nuevo formato"/>
    <d v="2021-04-12T00:00:00"/>
    <s v="NO"/>
    <d v="1900-05-22T00:00:00"/>
    <x v="0"/>
  </r>
  <r>
    <x v="3"/>
    <x v="4"/>
    <x v="2"/>
    <x v="9"/>
    <n v="883043"/>
    <d v="2021-09-02T00:00:00"/>
    <s v="NO"/>
    <s v="SIGUE DE OPERACIÓN"/>
    <s v="SIN NOVEDAD"/>
    <d v="2021-03-15T00:00:00"/>
    <s v="Ingreso de equipo al nuevo formato"/>
    <d v="2021-04-12T00:00:00"/>
    <s v="NO"/>
    <d v="1900-05-22T00:00:00"/>
    <x v="0"/>
  </r>
  <r>
    <x v="3"/>
    <x v="4"/>
    <x v="2"/>
    <x v="9"/>
    <n v="876493"/>
    <d v="2021-09-02T00:00:00"/>
    <s v="NO"/>
    <s v="SIGUE DE OPERACIÓN"/>
    <s v="SIN NOVEDAD"/>
    <d v="2021-03-15T00:00:00"/>
    <s v="Ingreso de equipo al nuevo formato"/>
    <d v="2021-04-12T00:00:00"/>
    <s v="NO"/>
    <d v="1900-05-22T00:00:00"/>
    <x v="0"/>
  </r>
  <r>
    <x v="3"/>
    <x v="4"/>
    <x v="0"/>
    <x v="18"/>
    <s v="V03D20091062"/>
    <d v="2021-11-06T00:00:00"/>
    <s v="NO"/>
    <s v="SIGUE DE OPERACIÓN"/>
    <s v="SIN NOVEDAD"/>
    <d v="2021-03-15T00:00:00"/>
    <s v="Ingreso de equipo al nuevo formato"/>
    <d v="2021-04-12T00:00:00"/>
    <s v="NO"/>
    <d v="1900-07-26T00:00:00"/>
    <x v="0"/>
  </r>
  <r>
    <x v="3"/>
    <x v="4"/>
    <x v="2"/>
    <x v="7"/>
    <s v="992200DP"/>
    <d v="2021-11-09T00:00:00"/>
    <s v="NO"/>
    <s v="SIGUE DE OPERACIÓN"/>
    <s v="SIN NOVEDAD"/>
    <d v="2021-03-15T00:00:00"/>
    <s v="Ingreso de equipo al nuevo formato"/>
    <d v="2021-04-12T00:00:00"/>
    <s v="NO"/>
    <d v="1900-07-29T00:00:00"/>
    <x v="0"/>
  </r>
  <r>
    <x v="3"/>
    <x v="4"/>
    <x v="0"/>
    <x v="18"/>
    <s v="V03B200117039"/>
    <d v="2021-12-07T00:00:00"/>
    <s v="NO"/>
    <s v="SIGUE DE OPERACIÓN"/>
    <s v="SIN NOVEDAD"/>
    <d v="2021-03-15T00:00:00"/>
    <s v="Ingreso de equipo al nuevo formato"/>
    <d v="2021-04-12T00:00:00"/>
    <s v="NO"/>
    <d v="1900-08-26T00:00:00"/>
    <x v="0"/>
  </r>
  <r>
    <x v="1"/>
    <x v="5"/>
    <x v="2"/>
    <x v="7"/>
    <s v="0531007D"/>
    <d v="2021-04-13T00:00:00"/>
    <s v="NO"/>
    <s v="SIGUE DE OPERACIÓN"/>
    <s v="SIN NOVEDAD"/>
    <d v="2021-03-15T00:00:00"/>
    <s v="Ingreso de equipo al nuevo formato"/>
    <d v="2021-04-12T00:00:00"/>
    <s v="NO "/>
    <d v="1899-12-31T00:00:00"/>
    <x v="1"/>
  </r>
  <r>
    <x v="1"/>
    <x v="5"/>
    <x v="2"/>
    <x v="7"/>
    <s v="000403CTW"/>
    <d v="2021-04-21T00:00:00"/>
    <s v="NO"/>
    <s v="SIGUE DE OPERACIÓN"/>
    <s v="SIN NOVEDAD"/>
    <d v="2021-03-15T00:00:00"/>
    <s v="Ingreso de equipo al nuevo formato"/>
    <d v="2021-04-12T00:00:00"/>
    <s v="NO "/>
    <d v="1900-01-08T00:00:00"/>
    <x v="1"/>
  </r>
  <r>
    <x v="1"/>
    <x v="5"/>
    <x v="2"/>
    <x v="7"/>
    <n v="1998"/>
    <d v="2021-04-27T00:00:00"/>
    <s v="NO"/>
    <s v="SIGUE DE OPERACIÓN"/>
    <s v="SIN NOVEDAD"/>
    <d v="2021-03-15T00:00:00"/>
    <s v="Ingreso de equipo al nuevo formato"/>
    <d v="2021-04-12T00:00:00"/>
    <s v="NO "/>
    <d v="1900-01-14T00:00:00"/>
    <x v="1"/>
  </r>
  <r>
    <x v="1"/>
    <x v="5"/>
    <x v="2"/>
    <x v="7"/>
    <s v="993300Y2"/>
    <d v="2021-05-01T00:00:00"/>
    <s v="NO"/>
    <s v="SIGUE DE OPERACIÓN"/>
    <s v="SIN NOVEDAD"/>
    <d v="2021-03-15T00:00:00"/>
    <s v="Ingreso de equipo al nuevo formato"/>
    <d v="2021-04-12T00:00:00"/>
    <s v="NO"/>
    <d v="1900-01-18T00:00:00"/>
    <x v="0"/>
  </r>
  <r>
    <x v="1"/>
    <x v="5"/>
    <x v="1"/>
    <x v="12"/>
    <n v="4430169"/>
    <d v="2021-06-04T00:00:00"/>
    <s v="NO"/>
    <s v="SIGUE DE OPERACIÓN"/>
    <s v="SIN NOVEDAD"/>
    <d v="2021-03-15T00:00:00"/>
    <s v="Ingreso de equipo al nuevo formato"/>
    <d v="2021-04-12T00:00:00"/>
    <s v="NO"/>
    <d v="1900-02-21T00:00:00"/>
    <x v="0"/>
  </r>
  <r>
    <x v="1"/>
    <x v="5"/>
    <x v="0"/>
    <x v="14"/>
    <n v="35709"/>
    <d v="2021-06-16T00:00:00"/>
    <s v="NO"/>
    <s v="SIGUE DE OPERACIÓN"/>
    <s v="SIN NOVEDAD"/>
    <d v="2021-03-15T00:00:00"/>
    <s v="Ingreso de equipo al nuevo formato"/>
    <d v="2021-04-12T00:00:00"/>
    <s v="NO"/>
    <d v="1900-03-05T00:00:00"/>
    <x v="0"/>
  </r>
  <r>
    <x v="1"/>
    <x v="5"/>
    <x v="0"/>
    <x v="5"/>
    <n v="7905"/>
    <d v="2021-08-10T00:00:00"/>
    <s v="NO"/>
    <s v="SIGUE DE OPERACIÓN"/>
    <s v="SIN NOVEDAD"/>
    <d v="2021-03-15T00:00:00"/>
    <s v="Ingreso de equipo al nuevo formato"/>
    <d v="2021-04-12T00:00:00"/>
    <s v="NO"/>
    <d v="1900-04-29T00:00:00"/>
    <x v="0"/>
  </r>
  <r>
    <x v="1"/>
    <x v="5"/>
    <x v="1"/>
    <x v="10"/>
    <n v="14117108"/>
    <d v="2021-11-23T00:00:00"/>
    <s v="NO"/>
    <s v="SIGUE DE OPERACIÓN"/>
    <s v="SIN NOVEDAD"/>
    <d v="2021-03-15T00:00:00"/>
    <s v="Ingreso de equipo al nuevo formato"/>
    <d v="2021-04-12T00:00:00"/>
    <s v="NO"/>
    <d v="1900-08-12T00:00:00"/>
    <x v="0"/>
  </r>
  <r>
    <x v="1"/>
    <x v="5"/>
    <x v="0"/>
    <x v="14"/>
    <n v="1059"/>
    <d v="2021-12-05T00:00:00"/>
    <s v="NO"/>
    <s v="SIGUE DE OPERACIÓN"/>
    <s v="SIN NOVEDAD"/>
    <d v="2021-03-15T00:00:00"/>
    <s v="Ingreso de equipo al nuevo formato"/>
    <d v="2021-04-12T00:00:00"/>
    <s v="NO"/>
    <d v="1900-08-24T00:00:00"/>
    <x v="0"/>
  </r>
  <r>
    <x v="2"/>
    <x v="6"/>
    <x v="1"/>
    <x v="10"/>
    <n v="17332059"/>
    <d v="2022-03-21T00:00:00"/>
    <s v="NO"/>
    <s v="SIGUE DE OPERACIÓN"/>
    <s v="SIN NOVEDAD"/>
    <d v="2021-03-15T00:00:00"/>
    <s v="Ingreso de equipo al nuevo formato"/>
    <d v="2021-04-12T00:00:00"/>
    <s v="NO"/>
    <d v="1900-12-08T00:00:00"/>
    <x v="0"/>
  </r>
  <r>
    <x v="2"/>
    <x v="6"/>
    <x v="2"/>
    <x v="9"/>
    <n v="913033"/>
    <d v="2021-05-13T00:00:00"/>
    <s v="NO"/>
    <s v="SIGUE DE OPERACIÓN"/>
    <s v="SIN NOVEDAD"/>
    <d v="2021-03-15T00:00:00"/>
    <s v="Ingreso de equipo al nuevo formato"/>
    <d v="2021-04-12T00:00:00"/>
    <s v="NO"/>
    <d v="1900-01-30T00:00:00"/>
    <x v="0"/>
  </r>
  <r>
    <x v="2"/>
    <x v="6"/>
    <x v="2"/>
    <x v="9"/>
    <n v="913032"/>
    <d v="2021-05-13T00:00:00"/>
    <s v="NO"/>
    <s v="SIGUE DE OPERACIÓN"/>
    <s v="SIN NOVEDAD"/>
    <d v="2021-03-15T00:00:00"/>
    <s v="Ingreso de equipo al nuevo formato"/>
    <d v="2021-04-12T00:00:00"/>
    <s v="NO"/>
    <d v="1900-01-30T00:00:00"/>
    <x v="0"/>
  </r>
  <r>
    <x v="2"/>
    <x v="6"/>
    <x v="2"/>
    <x v="9"/>
    <n v="913036"/>
    <d v="2021-07-18T00:00:00"/>
    <s v="NO"/>
    <s v="SIGUE DE OPERACIÓN"/>
    <s v="SIN NOVEDAD"/>
    <d v="2021-03-15T00:00:00"/>
    <s v="Ingreso de equipo al nuevo formato"/>
    <d v="2021-04-12T00:00:00"/>
    <s v="NO"/>
    <d v="1900-04-06T00:00:00"/>
    <x v="0"/>
  </r>
  <r>
    <x v="2"/>
    <x v="6"/>
    <x v="0"/>
    <x v="9"/>
    <s v="915FS100564"/>
    <d v="2021-11-20T00:00:00"/>
    <s v="NO"/>
    <s v="SIGUE DE OPERACIÓN"/>
    <s v="SIN NOVEDAD"/>
    <d v="2021-03-15T00:00:00"/>
    <s v="Ingreso de equipo al nuevo formato"/>
    <d v="2021-04-12T00:00:00"/>
    <s v="NO"/>
    <d v="1900-08-09T00:00:00"/>
    <x v="0"/>
  </r>
  <r>
    <x v="5"/>
    <x v="7"/>
    <x v="2"/>
    <x v="7"/>
    <s v="07300064"/>
    <d v="2022-02-13T00:00:00"/>
    <s v="NO"/>
    <s v="SIGUE DE OPERACIÓN"/>
    <s v="SIN NOVEDAD"/>
    <d v="2021-03-15T00:00:00"/>
    <s v="Ingreso de equipo al nuevo formato"/>
    <d v="2021-04-12T00:00:00"/>
    <s v="NO"/>
    <d v="1900-11-02T00:00:00"/>
    <x v="0"/>
  </r>
  <r>
    <x v="5"/>
    <x v="7"/>
    <x v="1"/>
    <x v="10"/>
    <n v="18159151"/>
    <d v="2021-09-19T00:00:00"/>
    <s v="NO"/>
    <s v="SIGUE DE OPERACIÓN"/>
    <s v="SIN NOVEDAD"/>
    <d v="2021-03-15T00:00:00"/>
    <s v="Ingreso de equipo al nuevo formato"/>
    <d v="2021-04-12T00:00:00"/>
    <s v="NO"/>
    <d v="1900-06-08T00:00:00"/>
    <x v="0"/>
  </r>
  <r>
    <x v="5"/>
    <x v="7"/>
    <x v="1"/>
    <x v="21"/>
    <n v="1062071"/>
    <d v="2021-10-10T00:00:00"/>
    <s v="NO"/>
    <s v="SIGUE DE OPERACIÓN"/>
    <s v="SIN NOVEDAD"/>
    <d v="2021-03-15T00:00:00"/>
    <s v="Ingreso de equipo al nuevo formato"/>
    <d v="2021-04-12T00:00:00"/>
    <s v="NO"/>
    <d v="1900-06-29T00:00:00"/>
    <x v="0"/>
  </r>
  <r>
    <x v="5"/>
    <x v="7"/>
    <x v="0"/>
    <x v="33"/>
    <s v="E331851048"/>
    <d v="2021-10-19T00:00:00"/>
    <s v="NO"/>
    <s v="SIGUE DE OPERACIÓN"/>
    <s v="SIN NOVEDAD"/>
    <d v="2021-03-15T00:00:00"/>
    <s v="Ingreso de equipo al nuevo formato"/>
    <d v="2021-04-12T00:00:00"/>
    <s v="NO"/>
    <d v="1900-07-08T00:00:00"/>
    <x v="0"/>
  </r>
  <r>
    <x v="5"/>
    <x v="7"/>
    <x v="0"/>
    <x v="33"/>
    <s v="QE332165243"/>
    <d v="2021-10-30T00:00:00"/>
    <s v="NO"/>
    <s v="SIGUE DE OPERACIÓN"/>
    <s v="SIN NOVEDAD"/>
    <d v="2021-03-15T00:00:00"/>
    <s v="Ingreso de equipo al nuevo formato"/>
    <d v="2021-04-12T00:00:00"/>
    <s v="NO"/>
    <d v="1900-07-19T00:00:00"/>
    <x v="0"/>
  </r>
  <r>
    <x v="5"/>
    <x v="7"/>
    <x v="1"/>
    <x v="10"/>
    <n v="16159065"/>
    <d v="2021-10-30T00:00:00"/>
    <s v="NO"/>
    <s v="SIGUE DE OPERACIÓN"/>
    <s v="SIN NOVEDAD"/>
    <d v="2021-03-15T00:00:00"/>
    <s v="Ingreso de equipo al nuevo formato"/>
    <d v="2021-04-12T00:00:00"/>
    <s v="NO"/>
    <d v="1900-07-19T00:00:00"/>
    <x v="0"/>
  </r>
  <r>
    <x v="5"/>
    <x v="7"/>
    <x v="0"/>
    <x v="33"/>
    <s v="QE331986840"/>
    <d v="2021-11-13T00:00:00"/>
    <s v="NO"/>
    <s v="SIGUE DE OPERACIÓN"/>
    <s v="SIN NOVEDAD"/>
    <d v="2021-03-15T00:00:00"/>
    <s v="Ingreso de equipo al nuevo formato"/>
    <d v="2021-04-12T00:00:00"/>
    <s v="NO"/>
    <d v="1900-08-02T00:00:00"/>
    <x v="0"/>
  </r>
  <r>
    <x v="5"/>
    <x v="8"/>
    <x v="0"/>
    <x v="34"/>
    <s v="AA431804010317"/>
    <d v="2021-07-09T00:00:00"/>
    <s v="NO"/>
    <s v="SIGUE DE OPERACIÓN"/>
    <s v="SIN NOVEDAD"/>
    <d v="2021-03-15T00:00:00"/>
    <s v="Ingreso de equipo al nuevo formato"/>
    <d v="2021-04-12T00:00:00"/>
    <s v="NO"/>
    <d v="1900-03-28T00:00:00"/>
    <x v="0"/>
  </r>
  <r>
    <x v="5"/>
    <x v="8"/>
    <x v="3"/>
    <x v="8"/>
    <s v="U395993GC"/>
    <d v="2021-07-30T00:00:00"/>
    <s v="NO"/>
    <s v="SIGUE DE OPERACIÓN"/>
    <s v="SIN NOVEDAD"/>
    <d v="2021-03-15T00:00:00"/>
    <s v="Ingreso de equipo al nuevo formato"/>
    <d v="2021-04-12T00:00:00"/>
    <s v="NO"/>
    <d v="1900-04-18T00:00:00"/>
    <x v="0"/>
  </r>
  <r>
    <x v="5"/>
    <x v="8"/>
    <x v="1"/>
    <x v="10"/>
    <n v="16159080"/>
    <d v="2021-08-18T00:00:00"/>
    <s v="NO"/>
    <s v="SIGUE DE OPERACIÓN"/>
    <s v="SIN NOVEDAD"/>
    <d v="2021-03-15T00:00:00"/>
    <s v="Ingreso de equipo al nuevo formato"/>
    <d v="2021-04-12T00:00:00"/>
    <s v="NO"/>
    <d v="1900-05-07T00:00:00"/>
    <x v="0"/>
  </r>
  <r>
    <x v="5"/>
    <x v="8"/>
    <x v="2"/>
    <x v="7"/>
    <s v="994600B4"/>
    <d v="2021-10-19T00:00:00"/>
    <s v="NO"/>
    <s v="SIGUE DE OPERACIÓN"/>
    <s v="SIN NOVEDAD"/>
    <d v="2021-03-15T00:00:00"/>
    <s v="Ingreso de equipo al nuevo formato"/>
    <d v="2021-04-12T00:00:00"/>
    <s v="NO"/>
    <d v="1900-07-08T00:00:00"/>
    <x v="0"/>
  </r>
  <r>
    <x v="1"/>
    <x v="9"/>
    <x v="4"/>
    <x v="3"/>
    <n v="2511551"/>
    <d v="2022-03-05T00:00:00"/>
    <s v="NO"/>
    <s v="SIGUE DE OPERACIÓN"/>
    <s v="SIN NOVEDAD"/>
    <d v="2021-03-15T00:00:00"/>
    <s v="Ingreso de equipo al nuevo formato"/>
    <d v="2021-04-12T00:00:00"/>
    <s v="NO"/>
    <d v="1900-11-22T00:00:00"/>
    <x v="0"/>
  </r>
  <r>
    <x v="1"/>
    <x v="9"/>
    <x v="1"/>
    <x v="35"/>
    <n v="6200755581"/>
    <d v="2021-06-01T00:00:00"/>
    <s v="NO"/>
    <s v="SIGUE DE OPERACIÓN"/>
    <s v="SIN NOVEDAD"/>
    <d v="2021-03-15T00:00:00"/>
    <s v="Ingreso de equipo al nuevo formato"/>
    <d v="2021-04-12T00:00:00"/>
    <s v="NO"/>
    <d v="1900-02-18T00:00:00"/>
    <x v="0"/>
  </r>
  <r>
    <x v="1"/>
    <x v="9"/>
    <x v="2"/>
    <x v="7"/>
    <s v="022800JFW"/>
    <d v="2021-07-29T00:00:00"/>
    <s v="NO"/>
    <s v="SIGUE DE OPERACIÓN"/>
    <s v="SIN NOVEDAD"/>
    <d v="2021-03-15T00:00:00"/>
    <s v="Ingreso de equipo al nuevo formato"/>
    <d v="2021-04-12T00:00:00"/>
    <s v="NO"/>
    <d v="1900-04-17T00:00:00"/>
    <x v="0"/>
  </r>
  <r>
    <x v="1"/>
    <x v="9"/>
    <x v="0"/>
    <x v="14"/>
    <n v="17889"/>
    <d v="2021-07-30T00:00:00"/>
    <s v="NO"/>
    <s v="SIGUE DE OPERACIÓN"/>
    <s v="SIN NOVEDAD"/>
    <d v="2021-03-15T00:00:00"/>
    <s v="Ingreso de equipo al nuevo formato"/>
    <d v="2021-04-12T00:00:00"/>
    <s v="NO"/>
    <d v="1900-04-18T00:00:00"/>
    <x v="0"/>
  </r>
  <r>
    <x v="1"/>
    <x v="9"/>
    <x v="2"/>
    <x v="7"/>
    <s v="0024007LW"/>
    <d v="2021-12-20T00:00:00"/>
    <s v="NO"/>
    <s v="SIGUE DE OPERACIÓN"/>
    <s v="SIN NOVEDAD"/>
    <d v="2021-03-15T00:00:00"/>
    <s v="Ingreso de equipo al nuevo formato"/>
    <d v="2021-04-12T00:00:00"/>
    <s v="NO"/>
    <d v="1900-09-08T00:00:00"/>
    <x v="0"/>
  </r>
  <r>
    <x v="5"/>
    <x v="10"/>
    <x v="2"/>
    <x v="7"/>
    <s v="0535002B"/>
    <d v="2021-03-09T00:00:00"/>
    <s v="NO"/>
    <s v="SIGUE DE OPERACIÓN"/>
    <s v="SIN NOVEDAD"/>
    <d v="2021-03-15T00:00:00"/>
    <s v="Ingreso de equipo al nuevo formato"/>
    <d v="2021-04-12T00:00:00"/>
    <s v="SI"/>
    <n v="-34"/>
    <x v="2"/>
  </r>
  <r>
    <x v="5"/>
    <x v="10"/>
    <x v="0"/>
    <x v="34"/>
    <s v="AA431710010760"/>
    <d v="2021-08-06T00:00:00"/>
    <s v="NO"/>
    <s v="SIGUE DE OPERACIÓN"/>
    <s v="SIN NOVEDAD"/>
    <d v="2021-03-15T00:00:00"/>
    <s v="Ingreso de equipo al nuevo formato"/>
    <d v="2021-04-12T00:00:00"/>
    <s v="NO"/>
    <d v="1900-04-25T00:00:00"/>
    <x v="0"/>
  </r>
  <r>
    <x v="5"/>
    <x v="10"/>
    <x v="2"/>
    <x v="7"/>
    <s v="012603JJ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0"/>
    <x v="1"/>
    <x v="10"/>
    <n v="16159068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6"/>
    <x v="11"/>
    <x v="2"/>
    <x v="7"/>
    <s v="012603HSW"/>
    <d v="2021-04-28T00:00:00"/>
    <s v="NO"/>
    <s v="SIGUE DE OPERACIÓN"/>
    <s v="SIN NOVEDAD"/>
    <d v="2021-03-15T00:00:00"/>
    <s v="Ingreso de equipo al nuevo formato"/>
    <d v="2021-04-12T00:00:00"/>
    <s v="NO"/>
    <d v="1900-01-15T00:00:00"/>
    <x v="0"/>
  </r>
  <r>
    <x v="6"/>
    <x v="11"/>
    <x v="0"/>
    <x v="36"/>
    <n v="17010437"/>
    <d v="2021-12-14T00:00:00"/>
    <s v="NO"/>
    <s v="SIGUE DE OPERACIÓN"/>
    <s v="SIN NOVEDAD"/>
    <d v="2021-03-15T00:00:00"/>
    <s v="Ingreso de equipo al nuevo formato"/>
    <d v="2021-04-12T00:00:00"/>
    <s v="NO"/>
    <d v="1900-09-02T00:00:00"/>
    <x v="0"/>
  </r>
  <r>
    <x v="6"/>
    <x v="11"/>
    <x v="1"/>
    <x v="3"/>
    <s v="6200941848"/>
    <d v="2021-12-22T00:00:00"/>
    <s v="NO"/>
    <s v="SIGUE DE OPERACIÓN"/>
    <s v="SIN NOVEDAD"/>
    <d v="2021-03-15T00:00:00"/>
    <s v="Ingreso de equipo al nuevo formato"/>
    <d v="2021-04-12T00:00:00"/>
    <s v="NO"/>
    <d v="1900-09-10T00:00:00"/>
    <x v="0"/>
  </r>
  <r>
    <x v="0"/>
    <x v="12"/>
    <x v="2"/>
    <x v="9"/>
    <n v="905250"/>
    <d v="2021-03-12T00:00:00"/>
    <s v="NO"/>
    <s v="SIGUE DE OPERACIÓN"/>
    <s v="SIN NOVEDAD"/>
    <d v="2021-03-15T00:00:00"/>
    <s v="Ingreso de equipo al nuevo formato"/>
    <d v="2021-04-12T00:00:00"/>
    <s v="SI"/>
    <n v="-31"/>
    <x v="2"/>
  </r>
  <r>
    <x v="0"/>
    <x v="12"/>
    <x v="2"/>
    <x v="9"/>
    <n v="897380"/>
    <d v="2021-03-12T00:00:00"/>
    <s v="NO"/>
    <s v="SIGUE DE OPERACIÓN"/>
    <s v="SIN NOVEDAD"/>
    <d v="2021-03-15T00:00:00"/>
    <s v="Ingreso de equipo al nuevo formato"/>
    <d v="2021-04-12T00:00:00"/>
    <s v="SI"/>
    <n v="-31"/>
    <x v="2"/>
  </r>
  <r>
    <x v="0"/>
    <x v="12"/>
    <x v="1"/>
    <x v="4"/>
    <s v="E5FHA01977"/>
    <d v="2021-03-19T00:00:00"/>
    <s v="NO"/>
    <s v="SIGUE DE OPERACIÓN"/>
    <s v="SIN NOVEDAD"/>
    <d v="2021-03-15T00:00:00"/>
    <s v="Ingreso de equipo al nuevo formato"/>
    <d v="2021-04-12T00:00:00"/>
    <s v="SI"/>
    <n v="-24"/>
    <x v="2"/>
  </r>
  <r>
    <x v="0"/>
    <x v="12"/>
    <x v="0"/>
    <x v="14"/>
    <s v="SPP2WAGXM2E7NTFD"/>
    <d v="2021-03-20T00:00:00"/>
    <s v="NO"/>
    <s v="SIGUE DE OPERACIÓN"/>
    <s v="SIN NOVEDAD"/>
    <d v="2021-03-15T00:00:00"/>
    <s v="Ingreso de equipo al nuevo formato"/>
    <d v="2021-04-12T00:00:00"/>
    <s v="SI"/>
    <n v="-23"/>
    <x v="2"/>
  </r>
  <r>
    <x v="3"/>
    <x v="13"/>
    <x v="2"/>
    <x v="7"/>
    <s v="993300Y3"/>
    <d v="2021-06-02T00:00:00"/>
    <s v="NO"/>
    <s v="SIGUE DE OPERACIÓN"/>
    <s v="SIN NOVEDAD"/>
    <d v="2021-03-15T00:00:00"/>
    <s v="Ingreso de equipo al nuevo formato"/>
    <d v="2021-04-12T00:00:00"/>
    <s v="NO"/>
    <d v="1900-02-19T00:00:00"/>
    <x v="0"/>
  </r>
  <r>
    <x v="3"/>
    <x v="13"/>
    <x v="0"/>
    <x v="5"/>
    <n v="6716"/>
    <d v="2021-07-28T00:00:00"/>
    <s v="NO"/>
    <s v="SIGUE DE OPERACIÓN"/>
    <s v="SIN NOVEDAD"/>
    <d v="2021-03-15T00:00:00"/>
    <s v="Ingreso de equipo al nuevo formato"/>
    <d v="2021-04-12T00:00:00"/>
    <s v="NO"/>
    <d v="1900-04-16T00:00:00"/>
    <x v="0"/>
  </r>
  <r>
    <x v="3"/>
    <x v="13"/>
    <x v="0"/>
    <x v="37"/>
    <s v="8A350A2618084446"/>
    <d v="2021-07-28T00:00:00"/>
    <s v="NO"/>
    <s v="SIGUE DE OPERACIÓN"/>
    <s v="SIN NOVEDAD"/>
    <d v="2021-03-15T00:00:00"/>
    <s v="Ingreso de equipo al nuevo formato"/>
    <d v="2021-04-12T00:00:00"/>
    <s v="NO"/>
    <d v="1900-04-16T00:00:00"/>
    <x v="0"/>
  </r>
  <r>
    <x v="3"/>
    <x v="13"/>
    <x v="1"/>
    <x v="3"/>
    <s v="6C00058441"/>
    <d v="2021-07-28T00:00:00"/>
    <s v="NO"/>
    <s v="SIGUE DE OPERACIÓN"/>
    <s v="SIN NOVEDAD"/>
    <d v="2021-03-15T00:00:00"/>
    <s v="Ingreso de equipo al nuevo formato"/>
    <d v="2021-04-12T00:00:00"/>
    <s v="NO"/>
    <d v="1900-04-16T00:00:00"/>
    <x v="0"/>
  </r>
  <r>
    <x v="3"/>
    <x v="13"/>
    <x v="2"/>
    <x v="7"/>
    <n v="5310078"/>
    <d v="2021-12-16T00:00:00"/>
    <s v="NO"/>
    <s v="SIGUE DE OPERACIÓN"/>
    <s v="SIN NOVEDAD"/>
    <d v="2021-03-15T00:00:00"/>
    <s v="Ingreso de equipo al nuevo formato"/>
    <d v="2021-04-12T00:00:00"/>
    <s v="NO"/>
    <d v="1900-09-04T00:00:00"/>
    <x v="0"/>
  </r>
  <r>
    <x v="5"/>
    <x v="14"/>
    <x v="2"/>
    <x v="7"/>
    <s v="02460039"/>
    <d v="2021-05-26T00:00:00"/>
    <s v="NO"/>
    <s v="SIGUE DE OPERACIÓN"/>
    <s v="SIN NOVEDAD"/>
    <d v="2021-03-15T00:00:00"/>
    <s v="Ingreso de equipo al nuevo formato"/>
    <d v="2021-04-12T00:00:00"/>
    <s v="NO"/>
    <d v="1900-02-12T00:00:00"/>
    <x v="0"/>
  </r>
  <r>
    <x v="5"/>
    <x v="14"/>
    <x v="2"/>
    <x v="7"/>
    <s v="0052041Z"/>
    <d v="2021-07-31T00:00:00"/>
    <s v="NO"/>
    <s v="SIGUE DE OPERACIÓN"/>
    <s v="SIN NOVEDAD"/>
    <d v="2021-03-15T00:00:00"/>
    <s v="Ingreso de equipo al nuevo formato"/>
    <d v="2021-04-12T00:00:00"/>
    <s v="NO"/>
    <d v="1900-04-19T00:00:00"/>
    <x v="0"/>
  </r>
  <r>
    <x v="5"/>
    <x v="14"/>
    <x v="2"/>
    <x v="7"/>
    <n v="4130053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5"/>
    <x v="14"/>
    <x v="2"/>
    <x v="7"/>
    <s v="0616003D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5"/>
    <x v="14"/>
    <x v="2"/>
    <x v="7"/>
    <s v="984700F6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5"/>
    <x v="14"/>
    <x v="2"/>
    <x v="7"/>
    <s v="995103XW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5"/>
    <x v="14"/>
    <x v="0"/>
    <x v="34"/>
    <s v="AA431606010913"/>
    <d v="2021-08-08T00:00:00"/>
    <s v="NO"/>
    <s v="SIGUE DE OPERACIÓN"/>
    <s v="SIN NOVEDAD"/>
    <d v="2021-03-15T00:00:00"/>
    <s v="Ingreso de equipo al nuevo formato"/>
    <d v="2021-04-12T00:00:00"/>
    <s v="NO"/>
    <d v="1900-04-27T00:00:00"/>
    <x v="0"/>
  </r>
  <r>
    <x v="5"/>
    <x v="14"/>
    <x v="0"/>
    <x v="34"/>
    <s v="AA431804010323"/>
    <d v="2021-08-10T00:00:00"/>
    <s v="NO"/>
    <s v="SIGUE DE OPERACIÓN"/>
    <s v="SIN NOVEDAD"/>
    <d v="2021-03-15T00:00:00"/>
    <s v="Ingreso de equipo al nuevo formato"/>
    <d v="2021-04-12T00:00:00"/>
    <s v="NO"/>
    <d v="1900-04-29T00:00:00"/>
    <x v="0"/>
  </r>
  <r>
    <x v="5"/>
    <x v="14"/>
    <x v="3"/>
    <x v="38"/>
    <s v="722NA3"/>
    <d v="2021-08-18T00:00:00"/>
    <s v="NO"/>
    <s v="SIGUE DE OPERACIÓN"/>
    <s v="SIN NOVEDAD"/>
    <d v="2021-03-15T00:00:00"/>
    <s v="Ingreso de equipo al nuevo formato"/>
    <d v="2021-04-12T00:00:00"/>
    <s v="NO"/>
    <d v="1900-05-07T00:00:00"/>
    <x v="0"/>
  </r>
  <r>
    <x v="5"/>
    <x v="14"/>
    <x v="2"/>
    <x v="7"/>
    <s v="0128000K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4"/>
    <x v="2"/>
    <x v="7"/>
    <s v="w5.00.2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4"/>
    <x v="1"/>
    <x v="10"/>
    <n v="16159064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4"/>
    <x v="1"/>
    <x v="10"/>
    <n v="16159069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4"/>
    <x v="1"/>
    <x v="10"/>
    <n v="16159073"/>
    <d v="2021-08-19T00:00:00"/>
    <s v="NO"/>
    <s v="SIGUE DE OPERACIÓN"/>
    <s v="SIN NOVEDAD"/>
    <d v="2021-03-15T00:00:00"/>
    <s v="Ingreso de equipo al nuevo formato"/>
    <d v="2021-04-12T00:00:00"/>
    <s v="NO"/>
    <d v="1900-05-08T00:00:00"/>
    <x v="0"/>
  </r>
  <r>
    <x v="5"/>
    <x v="14"/>
    <x v="0"/>
    <x v="15"/>
    <s v="01682"/>
    <d v="2021-10-17T00:00:00"/>
    <s v="NO"/>
    <s v="SIGUE DE OPERACIÓN"/>
    <s v="SIN NOVEDAD"/>
    <d v="2021-03-15T00:00:00"/>
    <s v="Ingreso de equipo al nuevo formato"/>
    <d v="2021-04-12T00:00:00"/>
    <s v="NO"/>
    <d v="1900-07-06T00:00:00"/>
    <x v="0"/>
  </r>
  <r>
    <x v="5"/>
    <x v="14"/>
    <x v="2"/>
    <x v="7"/>
    <s v="002900KB"/>
    <d v="2021-10-19T00:00:00"/>
    <s v="NO"/>
    <s v="SIGUE DE OPERACIÓN"/>
    <s v="SIN NOVEDAD"/>
    <d v="2021-03-15T00:00:00"/>
    <s v="Ingreso de equipo al nuevo formato"/>
    <d v="2021-04-12T00:00:00"/>
    <s v="NO"/>
    <d v="1900-07-08T00:00:00"/>
    <x v="0"/>
  </r>
  <r>
    <x v="5"/>
    <x v="14"/>
    <x v="1"/>
    <x v="4"/>
    <s v="E3AN001398"/>
    <d v="2021-10-21T00:00:00"/>
    <s v="NO"/>
    <s v="SIGUE DE OPERACIÓN"/>
    <s v="SIN NOVEDAD"/>
    <d v="2021-03-15T00:00:00"/>
    <s v="Ingreso de equipo al nuevo formato"/>
    <d v="2021-04-12T00:00:00"/>
    <s v="NO"/>
    <d v="1900-07-10T00:00:00"/>
    <x v="0"/>
  </r>
  <r>
    <x v="5"/>
    <x v="14"/>
    <x v="0"/>
    <x v="33"/>
    <s v="QE331944249"/>
    <d v="2021-11-04T00:00:00"/>
    <s v="NO"/>
    <s v="SIGUE DE OPERACIÓN"/>
    <s v="SIN NOVEDAD"/>
    <d v="2021-03-15T00:00:00"/>
    <s v="Ingreso de equipo al nuevo formato"/>
    <d v="2021-04-12T00:00:00"/>
    <s v="NO"/>
    <d v="1900-07-24T00:00:00"/>
    <x v="0"/>
  </r>
  <r>
    <x v="5"/>
    <x v="14"/>
    <x v="0"/>
    <x v="33"/>
    <s v="QE331911249"/>
    <d v="2021-11-09T00:00:00"/>
    <s v="NO"/>
    <s v="SIGUE DE OPERACIÓN"/>
    <s v="SIN NOVEDAD"/>
    <d v="2021-03-15T00:00:00"/>
    <s v="Ingreso de equipo al nuevo formato"/>
    <d v="2021-04-12T00:00:00"/>
    <s v="NO"/>
    <d v="1900-07-29T00:00:00"/>
    <x v="0"/>
  </r>
  <r>
    <x v="1"/>
    <x v="15"/>
    <x v="0"/>
    <x v="39"/>
    <s v="AA431802010131"/>
    <d v="2021-04-24T00:00:00"/>
    <s v="NO"/>
    <s v="SIGUE DE OPERACIÓN"/>
    <s v="SIN NOVEDAD"/>
    <d v="2021-03-15T00:00:00"/>
    <s v="Ingreso de equipo al nuevo formato"/>
    <d v="2021-04-12T00:00:00"/>
    <s v="NO "/>
    <d v="1900-01-11T00:00:00"/>
    <x v="1"/>
  </r>
  <r>
    <x v="1"/>
    <x v="15"/>
    <x v="0"/>
    <x v="39"/>
    <s v="AA431807011013"/>
    <d v="2021-04-24T00:00:00"/>
    <s v="NO"/>
    <s v="SIGUE DE OPERACIÓN"/>
    <s v="SIN NOVEDAD"/>
    <d v="2021-03-15T00:00:00"/>
    <s v="Ingreso de equipo al nuevo formato"/>
    <d v="2021-04-12T00:00:00"/>
    <s v="NO "/>
    <d v="1900-01-11T00:00:00"/>
    <x v="1"/>
  </r>
  <r>
    <x v="1"/>
    <x v="15"/>
    <x v="1"/>
    <x v="10"/>
    <n v="18159152"/>
    <d v="2021-05-01T00:00:00"/>
    <s v="NO"/>
    <s v="SIGUE DE OPERACIÓN"/>
    <s v="SIN NOVEDAD"/>
    <d v="2021-03-15T00:00:00"/>
    <s v="Ingreso de equipo al nuevo formato"/>
    <d v="2021-04-12T00:00:00"/>
    <s v="NO"/>
    <d v="1900-01-18T00:00:00"/>
    <x v="0"/>
  </r>
  <r>
    <x v="1"/>
    <x v="15"/>
    <x v="0"/>
    <x v="18"/>
    <s v="V03L19115080"/>
    <d v="2021-06-01T00:00:00"/>
    <s v="NO"/>
    <s v="SIGUE DE OPERACIÓN"/>
    <s v="SIN NOVEDAD"/>
    <d v="2021-03-15T00:00:00"/>
    <s v="Ingreso de equipo al nuevo formato"/>
    <d v="2021-04-12T00:00:00"/>
    <s v="NO"/>
    <d v="1900-02-18T00:00:00"/>
    <x v="0"/>
  </r>
  <r>
    <x v="1"/>
    <x v="15"/>
    <x v="0"/>
    <x v="18"/>
    <s v="V03819103674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0"/>
    <x v="18"/>
    <s v="V03H19092547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3"/>
    <x v="40"/>
    <s v="A186506111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3"/>
    <x v="40"/>
    <s v="A186506152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1"/>
    <x v="10"/>
    <s v="6601651550469290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1"/>
    <x v="41"/>
    <n v="995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15"/>
    <x v="0"/>
    <x v="14"/>
    <n v="394"/>
    <d v="2021-12-05T00:00:00"/>
    <s v="NO"/>
    <s v="SIGUE DE OPERACIÓN"/>
    <s v="SIN NOVEDAD"/>
    <d v="2021-03-15T00:00:00"/>
    <s v="Ingreso de equipo al nuevo formato"/>
    <d v="2021-04-12T00:00:00"/>
    <s v="NO"/>
    <d v="1900-08-24T00:00:00"/>
    <x v="0"/>
  </r>
  <r>
    <x v="1"/>
    <x v="15"/>
    <x v="0"/>
    <x v="18"/>
    <s v="V03V19103672"/>
    <d v="2021-12-05T00:00:00"/>
    <s v="NO"/>
    <s v="SIGUE DE OPERACIÓN"/>
    <s v="SIN NOVEDAD"/>
    <d v="2021-03-15T00:00:00"/>
    <s v="Ingreso de equipo al nuevo formato"/>
    <d v="2021-04-12T00:00:00"/>
    <s v="NO"/>
    <d v="1900-08-24T00:00:00"/>
    <x v="0"/>
  </r>
  <r>
    <x v="1"/>
    <x v="15"/>
    <x v="4"/>
    <x v="35"/>
    <n v="2511552"/>
    <d v="2021-12-18T00:00:00"/>
    <s v="NO"/>
    <s v="SIGUE DE OPERACIÓN"/>
    <s v="SIN NOVEDAD"/>
    <d v="2021-03-15T00:00:00"/>
    <s v="Ingreso de equipo al nuevo formato"/>
    <d v="2021-04-12T00:00:00"/>
    <s v="NO"/>
    <d v="1900-09-06T00:00:00"/>
    <x v="0"/>
  </r>
  <r>
    <x v="1"/>
    <x v="15"/>
    <x v="2"/>
    <x v="7"/>
    <n v="3220060"/>
    <d v="2021-12-30T00:00:00"/>
    <s v="NO"/>
    <s v="SIGUE DE OPERACIÓN"/>
    <s v="SIN NOVEDAD"/>
    <d v="2021-03-15T00:00:00"/>
    <s v="Ingreso de equipo al nuevo formato"/>
    <d v="2021-04-12T00:00:00"/>
    <s v="NO"/>
    <d v="1900-09-18T00:00:00"/>
    <x v="0"/>
  </r>
  <r>
    <x v="1"/>
    <x v="15"/>
    <x v="2"/>
    <x v="7"/>
    <s v="1200903J"/>
    <d v="2021-12-30T00:00:00"/>
    <s v="NO"/>
    <s v="SIGUE DE OPERACIÓN"/>
    <s v="SIN NOVEDAD"/>
    <d v="2021-03-15T00:00:00"/>
    <s v="Ingreso de equipo al nuevo formato"/>
    <d v="2021-04-12T00:00:00"/>
    <s v="NO"/>
    <d v="1900-09-18T00:00:00"/>
    <x v="0"/>
  </r>
  <r>
    <x v="5"/>
    <x v="16"/>
    <x v="2"/>
    <x v="7"/>
    <s v="107028D"/>
    <d v="2021-03-09T00:00:00"/>
    <s v="NO"/>
    <s v="SIGUE DE OPERACIÓN"/>
    <s v="SIN NOVEDAD"/>
    <d v="2021-03-15T00:00:00"/>
    <s v="Ingreso de equipo al nuevo formato"/>
    <d v="2021-04-12T00:00:00"/>
    <s v="SI"/>
    <n v="-34"/>
    <x v="2"/>
  </r>
  <r>
    <x v="5"/>
    <x v="16"/>
    <x v="0"/>
    <x v="34"/>
    <s v="AA461612020091"/>
    <d v="2021-07-08T00:00:00"/>
    <s v="NO"/>
    <s v="SIGUE DE OPERACIÓN"/>
    <s v="SIN NOVEDAD"/>
    <d v="2021-03-15T00:00:00"/>
    <s v="Ingreso de equipo al nuevo formato"/>
    <d v="2021-04-12T00:00:00"/>
    <s v="NO"/>
    <d v="1900-03-27T00:00:00"/>
    <x v="0"/>
  </r>
  <r>
    <x v="5"/>
    <x v="16"/>
    <x v="0"/>
    <x v="34"/>
    <s v="AA431804010335"/>
    <d v="2021-07-13T00:00:00"/>
    <s v="NO"/>
    <s v="SIGUE DE OPERACIÓN"/>
    <s v="SIN NOVEDAD"/>
    <d v="2021-03-15T00:00:00"/>
    <s v="Ingreso de equipo al nuevo formato"/>
    <d v="2021-04-12T00:00:00"/>
    <s v="NO"/>
    <d v="1900-04-01T00:00:00"/>
    <x v="0"/>
  </r>
  <r>
    <x v="5"/>
    <x v="16"/>
    <x v="2"/>
    <x v="7"/>
    <s v="993300Y8"/>
    <d v="2021-07-23T00:00:00"/>
    <s v="NO"/>
    <s v="SIGUE DE OPERACIÓN"/>
    <s v="SIN NOVEDAD"/>
    <d v="2021-03-15T00:00:00"/>
    <s v="Ingreso de equipo al nuevo formato"/>
    <d v="2021-04-12T00:00:00"/>
    <s v="NO"/>
    <d v="1900-04-11T00:00:00"/>
    <x v="0"/>
  </r>
  <r>
    <x v="5"/>
    <x v="16"/>
    <x v="1"/>
    <x v="10"/>
    <n v="16159024"/>
    <d v="2021-07-31T00:00:00"/>
    <s v="NO"/>
    <s v="SIGUE DE OPERACIÓN"/>
    <s v="SIN NOVEDAD"/>
    <d v="2021-03-15T00:00:00"/>
    <s v="Ingreso de equipo al nuevo formato"/>
    <d v="2021-04-12T00:00:00"/>
    <s v="NO"/>
    <d v="1900-04-19T00:00:00"/>
    <x v="0"/>
  </r>
  <r>
    <x v="5"/>
    <x v="16"/>
    <x v="3"/>
    <x v="8"/>
    <s v="D736152"/>
    <d v="2021-08-11T00:00:00"/>
    <s v="NO"/>
    <s v="SIGUE DE OPERACIÓN"/>
    <s v="SIN NOVEDAD"/>
    <d v="2021-03-15T00:00:00"/>
    <s v="Ingreso de equipo al nuevo formato"/>
    <d v="2021-04-12T00:00:00"/>
    <s v="NO"/>
    <d v="1900-04-30T00:00:00"/>
    <x v="0"/>
  </r>
  <r>
    <x v="5"/>
    <x v="16"/>
    <x v="1"/>
    <x v="10"/>
    <n v="18159159"/>
    <d v="2021-09-17T00:00:00"/>
    <s v="NO"/>
    <s v="SIGUE DE OPERACIÓN"/>
    <s v="SIN NOVEDAD"/>
    <d v="2021-03-15T00:00:00"/>
    <s v="Ingreso de equipo al nuevo formato"/>
    <d v="2021-04-12T00:00:00"/>
    <s v="NO"/>
    <d v="1900-06-06T00:00:00"/>
    <x v="0"/>
  </r>
  <r>
    <x v="6"/>
    <x v="17"/>
    <x v="1"/>
    <x v="42"/>
    <n v="425481"/>
    <d v="2021-09-25T00:00:00"/>
    <s v="NO"/>
    <s v="SIGUE DE OPERACIÓN"/>
    <s v="SIN NOVEDAD"/>
    <d v="2021-03-15T00:00:00"/>
    <s v="Ingreso de equipo al nuevo formato"/>
    <d v="2021-04-12T00:00:00"/>
    <s v="NO"/>
    <d v="1900-06-14T00:00:00"/>
    <x v="0"/>
  </r>
  <r>
    <x v="6"/>
    <x v="17"/>
    <x v="1"/>
    <x v="28"/>
    <s v="E5FHO02971"/>
    <d v="2021-10-01T00:00:00"/>
    <s v="NO"/>
    <s v="SIGUE DE OPERACIÓN"/>
    <s v="SIN NOVEDAD"/>
    <d v="2021-03-15T00:00:00"/>
    <s v="Ingreso de equipo al nuevo formato"/>
    <d v="2021-04-12T00:00:00"/>
    <s v="NO"/>
    <d v="1900-06-20T00:00:00"/>
    <x v="0"/>
  </r>
  <r>
    <x v="6"/>
    <x v="17"/>
    <x v="0"/>
    <x v="43"/>
    <n v="12601019403"/>
    <d v="2021-12-12T00:00:00"/>
    <s v="NO"/>
    <s v="SIGUE DE OPERACIÓN"/>
    <s v="SIN NOVEDAD"/>
    <d v="2021-03-15T00:00:00"/>
    <s v="Ingreso de equipo al nuevo formato"/>
    <d v="2021-04-12T00:00:00"/>
    <s v="NO"/>
    <d v="1900-08-31T00:00:00"/>
    <x v="0"/>
  </r>
  <r>
    <x v="6"/>
    <x v="17"/>
    <x v="2"/>
    <x v="44"/>
    <s v="004800YCW"/>
    <d v="2022-01-26T00:00:00"/>
    <s v="NO"/>
    <s v="SIGUE DE OPERACIÓN"/>
    <s v="SIN NOVEDAD"/>
    <d v="2021-03-15T00:00:00"/>
    <s v="Ingreso de equipo al nuevo formato"/>
    <d v="2021-04-12T00:00:00"/>
    <s v="NO"/>
    <d v="1900-10-15T00:00:00"/>
    <x v="0"/>
  </r>
  <r>
    <x v="6"/>
    <x v="17"/>
    <x v="2"/>
    <x v="7"/>
    <s v="025000BBW"/>
    <d v="2022-03-02T00:00:00"/>
    <s v="SI"/>
    <s v="INGRESO A OPERACIÓN"/>
    <s v="REMPLAZO DE EQUIPO"/>
    <d v="2021-03-02T00:00:00"/>
    <s v="ingreso por remplazo de equipo mientras se envia a calibrar el ANALIZADOR BUCLE CU con s/n 882926"/>
    <d v="2021-04-12T00:00:00"/>
    <s v="NO"/>
    <d v="1900-11-19T00:00:00"/>
    <x v="0"/>
  </r>
  <r>
    <x v="6"/>
    <x v="18"/>
    <x v="0"/>
    <x v="5"/>
    <s v="9356"/>
    <d v="2021-06-02T00:00:00"/>
    <s v="NO"/>
    <s v="SIGUE DE OPERACIÓN"/>
    <s v="SIN NOVEDAD"/>
    <d v="2021-03-15T00:00:00"/>
    <s v="Ingreso de equipo al nuevo formato"/>
    <d v="2021-04-12T00:00:00"/>
    <s v="NO"/>
    <d v="1900-02-19T00:00:00"/>
    <x v="0"/>
  </r>
  <r>
    <x v="6"/>
    <x v="18"/>
    <x v="0"/>
    <x v="5"/>
    <n v="6322"/>
    <d v="2021-09-24T00:00:00"/>
    <s v="NO"/>
    <s v="SIGUE DE OPERACIÓN"/>
    <s v="SIN NOVEDAD"/>
    <d v="2021-03-15T00:00:00"/>
    <s v="Ingreso de equipo al nuevo formato"/>
    <d v="2021-04-12T00:00:00"/>
    <s v="NO"/>
    <d v="1900-06-13T00:00:00"/>
    <x v="0"/>
  </r>
  <r>
    <x v="6"/>
    <x v="18"/>
    <x v="0"/>
    <x v="42"/>
    <s v="18010336"/>
    <d v="2021-09-24T00:00:00"/>
    <s v="NO"/>
    <s v="SIGUE DE OPERACIÓN"/>
    <s v="SIN NOVEDAD"/>
    <d v="2021-03-15T00:00:00"/>
    <s v="Ingreso de equipo al nuevo formato"/>
    <d v="2021-04-12T00:00:00"/>
    <s v="NO"/>
    <d v="1900-06-13T00:00:00"/>
    <x v="0"/>
  </r>
  <r>
    <x v="6"/>
    <x v="18"/>
    <x v="1"/>
    <x v="42"/>
    <n v="3689"/>
    <d v="2021-09-25T00:00:00"/>
    <s v="NO"/>
    <s v="SIGUE DE OPERACIÓN"/>
    <s v="SIN NOVEDAD"/>
    <d v="2021-03-15T00:00:00"/>
    <s v="Ingreso de equipo al nuevo formato"/>
    <d v="2021-04-12T00:00:00"/>
    <s v="NO"/>
    <d v="1900-06-14T00:00:00"/>
    <x v="0"/>
  </r>
  <r>
    <x v="6"/>
    <x v="18"/>
    <x v="2"/>
    <x v="7"/>
    <s v="0349001Z"/>
    <d v="2021-10-08T00:00:00"/>
    <s v="NO"/>
    <s v="SIGUE DE OPERACIÓN"/>
    <s v="SIN NOVEDAD"/>
    <d v="2021-03-15T00:00:00"/>
    <s v="Ingreso de equipo al nuevo formato"/>
    <d v="2021-04-12T00:00:00"/>
    <s v="NO"/>
    <d v="1900-06-27T00:00:00"/>
    <x v="0"/>
  </r>
  <r>
    <x v="6"/>
    <x v="18"/>
    <x v="2"/>
    <x v="7"/>
    <s v="982300HP"/>
    <d v="2021-10-08T00:00:00"/>
    <s v="NO"/>
    <s v="SIGUE DE OPERACIÓN"/>
    <s v="SIN NOVEDAD"/>
    <d v="2021-03-15T00:00:00"/>
    <s v="Ingreso de equipo al nuevo formato"/>
    <d v="2021-04-12T00:00:00"/>
    <s v="NO"/>
    <d v="1900-06-27T00:00:00"/>
    <x v="0"/>
  </r>
  <r>
    <x v="6"/>
    <x v="18"/>
    <x v="0"/>
    <x v="42"/>
    <n v="19011118"/>
    <d v="2021-11-24T00:00:00"/>
    <s v="NO"/>
    <s v="SIGUE DE OPERACIÓN"/>
    <s v="SIN NOVEDAD"/>
    <d v="2021-03-15T00:00:00"/>
    <s v="Ingreso de equipo al nuevo formato"/>
    <d v="2021-04-12T00:00:00"/>
    <s v="NO"/>
    <d v="1900-08-13T00:00:00"/>
    <x v="0"/>
  </r>
  <r>
    <x v="6"/>
    <x v="18"/>
    <x v="1"/>
    <x v="15"/>
    <s v="GT18I3787M"/>
    <d v="2021-12-09T00:00:00"/>
    <s v="NO"/>
    <s v="SIGUE DE OPERACIÓN"/>
    <s v="SIN NOVEDAD"/>
    <d v="2021-03-15T00:00:00"/>
    <s v="Ingreso de equipo al nuevo formato"/>
    <d v="2021-04-12T00:00:00"/>
    <s v="NO"/>
    <d v="1900-08-28T00:00:00"/>
    <x v="0"/>
  </r>
  <r>
    <x v="6"/>
    <x v="18"/>
    <x v="2"/>
    <x v="7"/>
    <s v="0047015DW"/>
    <d v="2022-02-22T00:00:00"/>
    <s v="NO"/>
    <s v="SIGUE DE OPERACIÓN"/>
    <s v="SIN NOVEDAD"/>
    <d v="2021-03-15T00:00:00"/>
    <s v="Ingreso de equipo al nuevo formato"/>
    <d v="2021-04-12T00:00:00"/>
    <s v="NO"/>
    <d v="1900-11-11T00:00:00"/>
    <x v="0"/>
  </r>
  <r>
    <x v="6"/>
    <x v="18"/>
    <x v="2"/>
    <x v="7"/>
    <s v="981100MC"/>
    <d v="2021-10-05T00:00:00"/>
    <s v="NO"/>
    <s v="INGRESO A OPERACIÓN"/>
    <s v="DAÑO EQUIPO"/>
    <d v="2021-03-04T00:00:00"/>
    <s v="ingreso a la operación, pantalla reparada"/>
    <d v="2021-04-12T00:00:00"/>
    <s v="NO"/>
    <d v="1900-06-24T00:00:00"/>
    <x v="0"/>
  </r>
  <r>
    <x v="5"/>
    <x v="19"/>
    <x v="0"/>
    <x v="34"/>
    <s v="AA431606010925"/>
    <d v="2021-08-06T00:00:00"/>
    <s v="NO"/>
    <s v="SIGUE DE OPERACIÓN"/>
    <s v="SIN NOVEDAD"/>
    <d v="2021-03-15T00:00:00"/>
    <s v="Ingreso de equipo al nuevo formato"/>
    <d v="2021-04-12T00:00:00"/>
    <s v="NO"/>
    <d v="1900-04-25T00:00:00"/>
    <x v="0"/>
  </r>
  <r>
    <x v="5"/>
    <x v="19"/>
    <x v="3"/>
    <x v="8"/>
    <s v="F077071BA"/>
    <d v="2021-08-11T00:00:00"/>
    <s v="NO"/>
    <s v="SIGUE DE OPERACIÓN"/>
    <s v="SIN NOVEDAD"/>
    <d v="2021-03-15T00:00:00"/>
    <s v="Ingreso de equipo al nuevo formato"/>
    <d v="2021-04-12T00:00:00"/>
    <s v="NO"/>
    <d v="1900-04-30T00:00:00"/>
    <x v="0"/>
  </r>
  <r>
    <x v="5"/>
    <x v="19"/>
    <x v="2"/>
    <x v="7"/>
    <s v="000300RJ"/>
    <d v="2021-08-20T00:00:00"/>
    <s v="NO"/>
    <s v="SIGUE DE OPERACIÓN"/>
    <s v="SIN NOVEDAD"/>
    <d v="2021-03-15T00:00:00"/>
    <s v="Ingreso de equipo al nuevo formato"/>
    <d v="2021-04-12T00:00:00"/>
    <s v="NO"/>
    <d v="1900-05-09T00:00:00"/>
    <x v="0"/>
  </r>
  <r>
    <x v="5"/>
    <x v="19"/>
    <x v="1"/>
    <x v="10"/>
    <n v="16159077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5"/>
    <x v="19"/>
    <x v="1"/>
    <x v="21"/>
    <n v="777397"/>
    <d v="2021-11-13T00:00:00"/>
    <s v="NO"/>
    <s v="SIGUE DE OPERACIÓN"/>
    <s v="SIN NOVEDAD"/>
    <d v="2021-03-15T00:00:00"/>
    <s v="Ingreso de equipo al nuevo formato"/>
    <d v="2021-04-12T00:00:00"/>
    <s v="NO"/>
    <d v="1900-08-02T00:00:00"/>
    <x v="0"/>
  </r>
  <r>
    <x v="5"/>
    <x v="19"/>
    <x v="2"/>
    <x v="7"/>
    <s v="9942001X"/>
    <d v="2022-02-11T00:00:00"/>
    <s v="NO"/>
    <s v="SIGUE DE OPERACIÓN"/>
    <s v="SIN NOVEDAD"/>
    <d v="2021-03-15T00:00:00"/>
    <s v="Ingreso de equipo al nuevo formato"/>
    <d v="2021-04-12T00:00:00"/>
    <s v="NO"/>
    <d v="1900-10-31T00:00:00"/>
    <x v="0"/>
  </r>
  <r>
    <x v="5"/>
    <x v="19"/>
    <x v="0"/>
    <x v="33"/>
    <s v="Y13073514"/>
    <d v="2021-03-24T00:00:00"/>
    <s v="NO"/>
    <s v="SIGUE DE OPERACIÓN"/>
    <s v="SIN NOVEDAD"/>
    <d v="2021-03-15T00:00:00"/>
    <s v="Ingreso de equipo al nuevo formato"/>
    <d v="2021-04-12T00:00:00"/>
    <s v="SI"/>
    <n v="-19"/>
    <x v="2"/>
  </r>
  <r>
    <x v="5"/>
    <x v="20"/>
    <x v="2"/>
    <x v="7"/>
    <s v="0315003X"/>
    <d v="2021-03-09T00:00:00"/>
    <s v="NO"/>
    <s v="SIGUE DE OPERACIÓN"/>
    <s v="SIN NOVEDAD"/>
    <d v="2021-03-15T00:00:00"/>
    <s v="Ingreso de equipo al nuevo formato"/>
    <d v="2021-04-12T00:00:00"/>
    <s v="SI"/>
    <n v="-34"/>
    <x v="2"/>
  </r>
  <r>
    <x v="5"/>
    <x v="20"/>
    <x v="2"/>
    <x v="7"/>
    <s v="0047015S"/>
    <d v="2021-05-12T00:00:00"/>
    <s v="NO"/>
    <s v="SIGUE DE OPERACIÓN"/>
    <s v="SIN NOVEDAD"/>
    <d v="2021-03-15T00:00:00"/>
    <s v="Ingreso de equipo al nuevo formato"/>
    <d v="2021-04-12T00:00:00"/>
    <s v="NO"/>
    <d v="1900-01-29T00:00:00"/>
    <x v="0"/>
  </r>
  <r>
    <x v="5"/>
    <x v="20"/>
    <x v="0"/>
    <x v="34"/>
    <s v="AA401807010676"/>
    <d v="2021-07-12T00:00:00"/>
    <s v="NO"/>
    <s v="SIGUE DE OPERACIÓN"/>
    <s v="SIN NOVEDAD"/>
    <d v="2021-03-15T00:00:00"/>
    <s v="Ingreso de equipo al nuevo formato"/>
    <d v="2021-04-12T00:00:00"/>
    <s v="NO"/>
    <d v="1900-03-31T00:00:00"/>
    <x v="0"/>
  </r>
  <r>
    <x v="5"/>
    <x v="20"/>
    <x v="0"/>
    <x v="34"/>
    <s v="AA401807010732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5"/>
    <x v="20"/>
    <x v="1"/>
    <x v="10"/>
    <n v="18159153"/>
    <d v="2021-09-19T00:00:00"/>
    <s v="NO"/>
    <s v="SIGUE DE OPERACIÓN"/>
    <s v="SIN NOVEDAD"/>
    <d v="2021-03-15T00:00:00"/>
    <s v="Ingreso de equipo al nuevo formato"/>
    <d v="2021-04-12T00:00:00"/>
    <s v="NO"/>
    <d v="1900-06-08T00:00:00"/>
    <x v="0"/>
  </r>
  <r>
    <x v="1"/>
    <x v="21"/>
    <x v="4"/>
    <x v="35"/>
    <n v="2511837"/>
    <d v="2021-06-02T00:00:00"/>
    <s v="NO"/>
    <s v="SIGUE DE OPERACIÓN"/>
    <s v="SIN NOVEDAD"/>
    <d v="2021-03-15T00:00:00"/>
    <s v="Ingreso de equipo al nuevo formato"/>
    <d v="2021-04-12T00:00:00"/>
    <s v="NO"/>
    <d v="1900-02-19T00:00:00"/>
    <x v="0"/>
  </r>
  <r>
    <x v="1"/>
    <x v="21"/>
    <x v="0"/>
    <x v="18"/>
    <s v="V03E19079575"/>
    <d v="2021-07-16T00:00:00"/>
    <s v="NO"/>
    <s v="SIGUE DE OPERACIÓN"/>
    <s v="SIN NOVEDAD"/>
    <d v="2021-03-15T00:00:00"/>
    <s v="Ingreso de equipo al nuevo formato"/>
    <d v="2021-04-12T00:00:00"/>
    <s v="NO"/>
    <d v="1900-04-04T00:00:00"/>
    <x v="0"/>
  </r>
  <r>
    <x v="1"/>
    <x v="21"/>
    <x v="1"/>
    <x v="10"/>
    <n v="17151553"/>
    <d v="2021-07-16T00:00:00"/>
    <s v="NO"/>
    <s v="SIGUE DE OPERACIÓN"/>
    <s v="SIN NOVEDAD"/>
    <d v="2021-03-15T00:00:00"/>
    <s v="Ingreso de equipo al nuevo formato"/>
    <d v="2021-04-12T00:00:00"/>
    <s v="NO"/>
    <d v="1900-04-04T00:00:00"/>
    <x v="0"/>
  </r>
  <r>
    <x v="1"/>
    <x v="21"/>
    <x v="2"/>
    <x v="7"/>
    <n v="30131"/>
    <d v="2021-11-07T00:00:00"/>
    <s v="NO"/>
    <s v="SIGUE DE OPERACIÓN"/>
    <s v="SIN NOVEDAD"/>
    <d v="2021-03-15T00:00:00"/>
    <s v="Ingreso de equipo al nuevo formato"/>
    <d v="2021-04-12T00:00:00"/>
    <s v="NO"/>
    <d v="1900-07-27T00:00:00"/>
    <x v="0"/>
  </r>
  <r>
    <x v="1"/>
    <x v="21"/>
    <x v="2"/>
    <x v="7"/>
    <s v="0638004W"/>
    <d v="2021-11-30T00:00:00"/>
    <s v="NO"/>
    <s v="SIGUE DE OPERACIÓN"/>
    <s v="SIN NOVEDAD"/>
    <d v="2021-03-15T00:00:00"/>
    <s v="Ingreso de equipo al nuevo formato"/>
    <d v="2021-04-12T00:00:00"/>
    <s v="NO"/>
    <d v="1900-08-19T00:00:00"/>
    <x v="0"/>
  </r>
  <r>
    <x v="1"/>
    <x v="21"/>
    <x v="2"/>
    <x v="7"/>
    <n v="1130259"/>
    <d v="2021-12-30T00:00:00"/>
    <s v="NO"/>
    <s v="SIGUE DE OPERACIÓN"/>
    <s v="SIN NOVEDAD"/>
    <d v="2021-03-15T00:00:00"/>
    <s v="Ingreso de equipo al nuevo formato"/>
    <d v="2021-04-12T00:00:00"/>
    <s v="NO"/>
    <d v="1900-09-18T00:00:00"/>
    <x v="0"/>
  </r>
  <r>
    <x v="1"/>
    <x v="21"/>
    <x v="2"/>
    <x v="7"/>
    <s v="0150002H"/>
    <d v="2021-12-30T00:00:00"/>
    <s v="NO"/>
    <s v="SIGUE DE OPERACIÓN"/>
    <s v="SIN NOVEDAD"/>
    <d v="2021-03-15T00:00:00"/>
    <s v="Ingreso de equipo al nuevo formato"/>
    <d v="2021-04-12T00:00:00"/>
    <s v="NO"/>
    <d v="1900-09-18T00:00:00"/>
    <x v="0"/>
  </r>
  <r>
    <x v="1"/>
    <x v="21"/>
    <x v="0"/>
    <x v="34"/>
    <s v="AA431810012357"/>
    <d v="2022-01-18T00:00:00"/>
    <s v="NO"/>
    <s v="SIGUE DE OPERACIÓN"/>
    <s v="SIN NOVEDAD"/>
    <d v="2021-03-15T00:00:00"/>
    <s v="Ingreso de equipo al nuevo formato"/>
    <d v="2021-04-12T00:00:00"/>
    <s v="NO"/>
    <d v="1900-10-07T00:00:00"/>
    <x v="0"/>
  </r>
  <r>
    <x v="1"/>
    <x v="21"/>
    <x v="1"/>
    <x v="4"/>
    <s v="ESFHAO2915"/>
    <d v="2022-01-18T00:00:00"/>
    <s v="NO"/>
    <s v="SIGUE DE OPERACIÓN"/>
    <s v="SIN NOVEDAD"/>
    <d v="2021-03-15T00:00:00"/>
    <s v="Ingreso de equipo al nuevo formato"/>
    <d v="2021-04-12T00:00:00"/>
    <s v="NO"/>
    <d v="1900-10-07T00:00:00"/>
    <x v="0"/>
  </r>
  <r>
    <x v="1"/>
    <x v="21"/>
    <x v="0"/>
    <x v="5"/>
    <n v="5803"/>
    <d v="2022-02-03T00:00:00"/>
    <s v="NO"/>
    <s v="SIGUE DE OPERACIÓN"/>
    <s v="SIN NOVEDAD"/>
    <d v="2021-03-15T00:00:00"/>
    <s v="Ingreso de equipo al nuevo formato"/>
    <d v="2021-04-12T00:00:00"/>
    <s v="NO"/>
    <d v="1900-10-23T00:00:00"/>
    <x v="0"/>
  </r>
  <r>
    <x v="5"/>
    <x v="22"/>
    <x v="3"/>
    <x v="8"/>
    <s v="F077067BA"/>
    <d v="2021-08-11T00:00:00"/>
    <s v="NO"/>
    <s v="SIGUE DE OPERACIÓN"/>
    <s v="SIN NOVEDAD"/>
    <d v="2021-03-15T00:00:00"/>
    <s v="Ingreso de equipo al nuevo formato"/>
    <d v="2021-04-12T00:00:00"/>
    <s v="NO"/>
    <d v="1900-04-30T00:00:00"/>
    <x v="0"/>
  </r>
  <r>
    <x v="5"/>
    <x v="22"/>
    <x v="2"/>
    <x v="7"/>
    <s v="9952000HW"/>
    <d v="2022-02-11T00:00:00"/>
    <s v="NO"/>
    <s v="SIGUE DE OPERACIÓN"/>
    <s v="SIN NOVEDAD"/>
    <d v="2021-03-15T00:00:00"/>
    <s v="Ingreso de equipo al nuevo formato"/>
    <d v="2021-04-12T00:00:00"/>
    <s v="NO"/>
    <d v="1900-10-31T00:00:00"/>
    <x v="0"/>
  </r>
  <r>
    <x v="5"/>
    <x v="23"/>
    <x v="2"/>
    <x v="7"/>
    <s v="002901NX"/>
    <d v="2021-05-26T00:00:00"/>
    <s v="NO"/>
    <s v="SIGUE DE OPERACIÓN"/>
    <s v="SIN NOVEDAD"/>
    <d v="2021-03-15T00:00:00"/>
    <s v="Ingreso de equipo al nuevo formato"/>
    <d v="2021-04-12T00:00:00"/>
    <s v="NO"/>
    <d v="1900-02-12T00:00:00"/>
    <x v="0"/>
  </r>
  <r>
    <x v="5"/>
    <x v="23"/>
    <x v="0"/>
    <x v="34"/>
    <s v="AA431810012331"/>
    <d v="2021-07-25T00:00:00"/>
    <s v="NO"/>
    <s v="SIGUE DE OPERACIÓN"/>
    <s v="SIN NOVEDAD"/>
    <d v="2021-03-15T00:00:00"/>
    <s v="Ingreso de equipo al nuevo formato"/>
    <d v="2021-04-12T00:00:00"/>
    <s v="NO"/>
    <d v="1900-04-13T00:00:00"/>
    <x v="0"/>
  </r>
  <r>
    <x v="5"/>
    <x v="23"/>
    <x v="0"/>
    <x v="34"/>
    <s v="AA441606010045"/>
    <d v="2021-07-31T00:00:00"/>
    <s v="NO"/>
    <s v="SIGUE DE OPERACIÓN"/>
    <s v="SIN NOVEDAD"/>
    <d v="2021-03-15T00:00:00"/>
    <s v="Ingreso de equipo al nuevo formato"/>
    <d v="2021-04-12T00:00:00"/>
    <s v="NO"/>
    <d v="1900-04-19T00:00:00"/>
    <x v="0"/>
  </r>
  <r>
    <x v="5"/>
    <x v="23"/>
    <x v="1"/>
    <x v="10"/>
    <n v="16159079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5"/>
    <x v="24"/>
    <x v="2"/>
    <x v="7"/>
    <n v="98110020"/>
    <d v="2021-07-31T00:00:00"/>
    <s v="NO"/>
    <s v="SIGUE DE OPERACIÓN"/>
    <s v="SIN NOVEDAD"/>
    <d v="2021-03-15T00:00:00"/>
    <s v="Ingreso de equipo al nuevo formato"/>
    <d v="2021-04-12T00:00:00"/>
    <s v="NO"/>
    <d v="1900-04-19T00:00:00"/>
    <x v="0"/>
  </r>
  <r>
    <x v="5"/>
    <x v="24"/>
    <x v="1"/>
    <x v="10"/>
    <n v="16159070"/>
    <d v="2021-07-31T00:00:00"/>
    <s v="NO"/>
    <s v="SIGUE DE OPERACIÓN"/>
    <s v="SIN NOVEDAD"/>
    <d v="2021-03-15T00:00:00"/>
    <s v="Ingreso de equipo al nuevo formato"/>
    <d v="2021-04-12T00:00:00"/>
    <s v="NO"/>
    <d v="1900-04-19T00:00:00"/>
    <x v="0"/>
  </r>
  <r>
    <x v="5"/>
    <x v="24"/>
    <x v="2"/>
    <x v="7"/>
    <s v="002902JG"/>
    <d v="2021-08-20T00:00:00"/>
    <s v="NO"/>
    <s v="SIGUE DE OPERACIÓN"/>
    <s v="SIN NOVEDAD"/>
    <d v="2021-03-15T00:00:00"/>
    <s v="Ingreso de equipo al nuevo formato"/>
    <d v="2021-04-12T00:00:00"/>
    <s v="NO"/>
    <d v="1900-05-09T00:00:00"/>
    <x v="0"/>
  </r>
  <r>
    <x v="5"/>
    <x v="24"/>
    <x v="0"/>
    <x v="34"/>
    <s v="AA431804010336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3"/>
    <x v="25"/>
    <x v="4"/>
    <x v="3"/>
    <n v="6200834528"/>
    <d v="2021-07-20T00:00:00"/>
    <s v="NO"/>
    <s v="SIGUE DE OPERACIÓN"/>
    <s v="SIN NOVEDAD"/>
    <d v="2021-03-15T00:00:00"/>
    <s v="Ingreso de equipo al nuevo formato"/>
    <d v="2021-04-12T00:00:00"/>
    <s v="NO"/>
    <d v="1900-04-08T00:00:00"/>
    <x v="0"/>
  </r>
  <r>
    <x v="3"/>
    <x v="25"/>
    <x v="0"/>
    <x v="5"/>
    <n v="36716"/>
    <d v="2021-07-20T00:00:00"/>
    <s v="NO"/>
    <s v="SIGUE DE OPERACIÓN"/>
    <s v="SIN NOVEDAD"/>
    <d v="2021-03-15T00:00:00"/>
    <s v="Ingreso de equipo al nuevo formato"/>
    <d v="2021-04-12T00:00:00"/>
    <s v="NO"/>
    <d v="1900-04-08T00:00:00"/>
    <x v="0"/>
  </r>
  <r>
    <x v="3"/>
    <x v="25"/>
    <x v="2"/>
    <x v="7"/>
    <s v="0521000H"/>
    <d v="2021-10-28T00:00:00"/>
    <s v="NO"/>
    <s v="SIGUE DE OPERACIÓN"/>
    <s v="SIN NOVEDAD"/>
    <d v="2021-03-15T00:00:00"/>
    <s v="Ingreso de equipo al nuevo formato"/>
    <d v="2021-04-12T00:00:00"/>
    <s v="NO"/>
    <d v="1900-07-17T00:00:00"/>
    <x v="0"/>
  </r>
  <r>
    <x v="1"/>
    <x v="26"/>
    <x v="0"/>
    <x v="34"/>
    <s v="AA431810012069"/>
    <d v="2022-01-18T00:00:00"/>
    <s v="NO"/>
    <s v="SIGUE DE OPERACIÓN"/>
    <s v="SIN NOVEDAD"/>
    <d v="2021-03-15T00:00:00"/>
    <s v="Ingreso de equipo al nuevo formato"/>
    <d v="2021-04-12T00:00:00"/>
    <s v="NO"/>
    <d v="1900-10-07T00:00:00"/>
    <x v="0"/>
  </r>
  <r>
    <x v="1"/>
    <x v="26"/>
    <x v="0"/>
    <x v="5"/>
    <n v="5411"/>
    <d v="2022-01-30T00:00:00"/>
    <s v="NO"/>
    <s v="SIGUE DE OPERACIÓN"/>
    <s v="SIN NOVEDAD"/>
    <d v="2021-03-15T00:00:00"/>
    <s v="Ingreso de equipo al nuevo formato"/>
    <d v="2021-04-12T00:00:00"/>
    <s v="NO"/>
    <d v="1900-10-19T00:00:00"/>
    <x v="0"/>
  </r>
  <r>
    <x v="1"/>
    <x v="26"/>
    <x v="2"/>
    <x v="7"/>
    <n v="10510012"/>
    <d v="2021-11-20T00:00:00"/>
    <s v="NO"/>
    <s v="SIGUE DE OPERACIÓN"/>
    <s v="SIN NOVEDAD"/>
    <d v="2021-03-15T00:00:00"/>
    <s v="Ingreso de equipo al nuevo formato"/>
    <d v="2021-04-12T00:00:00"/>
    <s v="NO"/>
    <d v="1900-08-09T00:00:00"/>
    <x v="0"/>
  </r>
  <r>
    <x v="1"/>
    <x v="26"/>
    <x v="2"/>
    <x v="7"/>
    <s v="0531007C"/>
    <d v="2022-02-25T00:00:00"/>
    <s v="NO"/>
    <s v="SIGUE DE OPERACIÓN"/>
    <s v="SIN NOVEDAD"/>
    <d v="2021-03-15T00:00:00"/>
    <s v="Ingreso de equipo al nuevo formato"/>
    <d v="2021-04-12T00:00:00"/>
    <s v="NO"/>
    <d v="1900-11-14T00:00:00"/>
    <x v="0"/>
  </r>
  <r>
    <x v="1"/>
    <x v="26"/>
    <x v="2"/>
    <x v="7"/>
    <s v="00YYV43577"/>
    <d v="2022-03-04T00:00:00"/>
    <s v="NO"/>
    <s v="SIGUE DE OPERACIÓN"/>
    <s v="SIN NOVEDAD"/>
    <d v="2021-03-15T00:00:00"/>
    <s v="Ingreso de equipo al nuevo formato"/>
    <d v="2021-04-12T00:00:00"/>
    <s v="NO"/>
    <d v="1900-11-21T00:00:00"/>
    <x v="0"/>
  </r>
  <r>
    <x v="1"/>
    <x v="26"/>
    <x v="3"/>
    <x v="45"/>
    <s v="0E6001B"/>
    <d v="2021-04-09T00:00:00"/>
    <s v="NO"/>
    <s v="SIGUE DE OPERACIÓN"/>
    <s v="SIN NOVEDAD"/>
    <d v="2021-03-15T00:00:00"/>
    <s v="Ingreso de equipo al nuevo formato"/>
    <d v="2021-04-12T00:00:00"/>
    <s v="SI"/>
    <n v="-3"/>
    <x v="2"/>
  </r>
  <r>
    <x v="1"/>
    <x v="26"/>
    <x v="1"/>
    <x v="9"/>
    <n v="100248"/>
    <d v="2021-05-11T00:00:00"/>
    <s v="NO"/>
    <s v="SIGUE DE OPERACIÓN"/>
    <s v="SIN NOVEDAD"/>
    <d v="2021-03-15T00:00:00"/>
    <s v="Ingreso de equipo al nuevo formato"/>
    <d v="2021-04-12T00:00:00"/>
    <s v="NO"/>
    <d v="1900-01-28T00:00:00"/>
    <x v="0"/>
  </r>
  <r>
    <x v="1"/>
    <x v="26"/>
    <x v="2"/>
    <x v="7"/>
    <s v="004800ETW"/>
    <d v="2021-06-04T00:00:00"/>
    <s v="NO"/>
    <s v="SIGUE DE OPERACIÓN"/>
    <s v="SIN NOVEDAD"/>
    <d v="2021-03-15T00:00:00"/>
    <s v="Ingreso de equipo al nuevo formato"/>
    <d v="2021-04-12T00:00:00"/>
    <s v="NO"/>
    <d v="1900-02-21T00:00:00"/>
    <x v="0"/>
  </r>
  <r>
    <x v="1"/>
    <x v="26"/>
    <x v="1"/>
    <x v="3"/>
    <n v="6200990102"/>
    <d v="2021-07-08T00:00:00"/>
    <s v="NO"/>
    <s v="SIGUE DE OPERACIÓN"/>
    <s v="SIN NOVEDAD"/>
    <d v="2021-03-15T00:00:00"/>
    <s v="Ingreso de equipo al nuevo formato"/>
    <d v="2021-04-12T00:00:00"/>
    <s v="NO"/>
    <d v="1900-03-27T00:00:00"/>
    <x v="0"/>
  </r>
  <r>
    <x v="1"/>
    <x v="26"/>
    <x v="4"/>
    <x v="35"/>
    <n v="2511546"/>
    <d v="2021-07-30T00:00:00"/>
    <s v="NO"/>
    <s v="SIGUE DE OPERACIÓN"/>
    <s v="SIN NOVEDAD"/>
    <d v="2021-03-15T00:00:00"/>
    <s v="Ingreso de equipo al nuevo formato"/>
    <d v="2021-04-12T00:00:00"/>
    <s v="NO"/>
    <d v="1900-04-18T00:00:00"/>
    <x v="0"/>
  </r>
  <r>
    <x v="1"/>
    <x v="26"/>
    <x v="0"/>
    <x v="10"/>
    <s v="H1858350091"/>
    <d v="2021-09-02T00:00:00"/>
    <s v="NO"/>
    <s v="SIGUE DE OPERACIÓN"/>
    <s v="SIN NOVEDAD"/>
    <d v="2021-03-15T00:00:00"/>
    <s v="Ingreso de equipo al nuevo formato"/>
    <d v="2021-04-12T00:00:00"/>
    <s v="NO"/>
    <d v="1900-05-22T00:00:00"/>
    <x v="0"/>
  </r>
  <r>
    <x v="1"/>
    <x v="26"/>
    <x v="1"/>
    <x v="10"/>
    <n v="16159032"/>
    <d v="2021-10-06T00:00:00"/>
    <s v="NO"/>
    <s v="SIGUE DE OPERACIÓN"/>
    <s v="SIN NOVEDAD"/>
    <d v="2021-03-15T00:00:00"/>
    <s v="Ingreso de equipo al nuevo formato"/>
    <d v="2021-04-12T00:00:00"/>
    <s v="NO"/>
    <d v="1900-06-25T00:00:00"/>
    <x v="0"/>
  </r>
  <r>
    <x v="1"/>
    <x v="26"/>
    <x v="0"/>
    <x v="18"/>
    <s v="V03K19092548"/>
    <d v="2021-10-09T00:00:00"/>
    <s v="NO"/>
    <s v="SIGUE DE OPERACIÓN"/>
    <s v="SIN NOVEDAD"/>
    <d v="2021-03-15T00:00:00"/>
    <s v="Ingreso de equipo al nuevo formato"/>
    <d v="2021-04-12T00:00:00"/>
    <s v="NO"/>
    <d v="1900-06-28T00:00:00"/>
    <x v="0"/>
  </r>
  <r>
    <x v="1"/>
    <x v="26"/>
    <x v="1"/>
    <x v="10"/>
    <n v="14117157"/>
    <d v="2021-11-23T00:00:00"/>
    <s v="NO"/>
    <s v="SIGUE DE OPERACIÓN"/>
    <s v="SIN NOVEDAD"/>
    <d v="2021-03-15T00:00:00"/>
    <s v="Ingreso de equipo al nuevo formato"/>
    <d v="2021-04-12T00:00:00"/>
    <s v="NO"/>
    <d v="1900-08-12T00:00:00"/>
    <x v="0"/>
  </r>
  <r>
    <x v="3"/>
    <x v="27"/>
    <x v="0"/>
    <x v="18"/>
    <s v="V03820091058"/>
    <d v="2021-06-25T00:00:00"/>
    <s v="NO"/>
    <s v="SIGUE DE OPERACIÓN"/>
    <s v="SIN NOVEDAD"/>
    <d v="2021-03-15T00:00:00"/>
    <s v="Ingreso de equipo al nuevo formato"/>
    <d v="2021-04-12T00:00:00"/>
    <s v="NO"/>
    <d v="1900-03-14T00:00:00"/>
    <x v="0"/>
  </r>
  <r>
    <x v="3"/>
    <x v="27"/>
    <x v="1"/>
    <x v="3"/>
    <n v="6200667639"/>
    <d v="2021-10-06T00:00:00"/>
    <s v="NO"/>
    <s v="SIGUE DE OPERACIÓN"/>
    <s v="SIN NOVEDAD"/>
    <d v="2021-03-15T00:00:00"/>
    <s v="Ingreso de equipo al nuevo formato"/>
    <d v="2021-04-12T00:00:00"/>
    <s v="NO"/>
    <d v="1900-06-25T00:00:00"/>
    <x v="0"/>
  </r>
  <r>
    <x v="3"/>
    <x v="27"/>
    <x v="2"/>
    <x v="7"/>
    <s v="984200FY"/>
    <d v="2021-11-08T00:00:00"/>
    <s v="NO"/>
    <s v="SIGUE DE OPERACIÓN"/>
    <s v="SIN NOVEDAD"/>
    <d v="2021-03-15T00:00:00"/>
    <s v="Ingreso de equipo al nuevo formato"/>
    <d v="2021-04-12T00:00:00"/>
    <s v="NO"/>
    <d v="1900-07-28T00:00:00"/>
    <x v="0"/>
  </r>
  <r>
    <x v="3"/>
    <x v="27"/>
    <x v="2"/>
    <x v="7"/>
    <s v="0247009Y"/>
    <d v="2021-11-30T00:00:00"/>
    <s v="NO"/>
    <s v="SIGUE DE OPERACIÓN"/>
    <s v="SIN NOVEDAD"/>
    <d v="2021-03-15T00:00:00"/>
    <s v="Ingreso de equipo al nuevo formato"/>
    <d v="2021-04-12T00:00:00"/>
    <s v="NO"/>
    <d v="1900-08-19T00:00:00"/>
    <x v="0"/>
  </r>
  <r>
    <x v="7"/>
    <x v="28"/>
    <x v="0"/>
    <x v="14"/>
    <s v="14J9PKLMTK1GX7P7"/>
    <d v="2021-05-11T00:00:00"/>
    <s v="NO"/>
    <s v="SIGUE DE OPERACIÓN"/>
    <s v="SIN NOVEDAD"/>
    <d v="2021-03-15T00:00:00"/>
    <s v="Ingreso de equipo al nuevo formato"/>
    <d v="2021-04-12T00:00:00"/>
    <s v="NO"/>
    <d v="1900-01-28T00:00:00"/>
    <x v="0"/>
  </r>
  <r>
    <x v="7"/>
    <x v="28"/>
    <x v="2"/>
    <x v="7"/>
    <s v="055200A1"/>
    <d v="2021-05-12T00:00:00"/>
    <s v="NO"/>
    <s v="SIGUE DE OPERACIÓN"/>
    <s v="SIN NOVEDAD"/>
    <d v="2021-03-15T00:00:00"/>
    <s v="Ingreso de equipo al nuevo formato"/>
    <d v="2021-04-12T00:00:00"/>
    <s v="NO"/>
    <d v="1900-01-29T00:00:00"/>
    <x v="0"/>
  </r>
  <r>
    <x v="7"/>
    <x v="28"/>
    <x v="2"/>
    <x v="7"/>
    <s v="9951042F"/>
    <d v="2021-05-12T00:00:00"/>
    <s v="NO"/>
    <s v="SIGUE DE OPERACIÓN"/>
    <s v="SIN NOVEDAD"/>
    <d v="2021-03-15T00:00:00"/>
    <s v="Ingreso de equipo al nuevo formato"/>
    <d v="2021-04-12T00:00:00"/>
    <s v="NO"/>
    <d v="1900-01-29T00:00:00"/>
    <x v="0"/>
  </r>
  <r>
    <x v="7"/>
    <x v="28"/>
    <x v="3"/>
    <x v="45"/>
    <s v="D633595FC"/>
    <d v="2021-05-15T00:00:00"/>
    <s v="NO"/>
    <s v="SIGUE DE OPERACIÓN"/>
    <s v="SIN NOVEDAD"/>
    <d v="2021-03-15T00:00:00"/>
    <s v="Ingreso de equipo al nuevo formato"/>
    <d v="2021-04-12T00:00:00"/>
    <s v="NO"/>
    <d v="1900-02-01T00:00:00"/>
    <x v="0"/>
  </r>
  <r>
    <x v="7"/>
    <x v="28"/>
    <x v="2"/>
    <x v="7"/>
    <s v="981900NP"/>
    <d v="2021-05-15T00:00:00"/>
    <s v="NO"/>
    <s v="SIGUE DE OPERACIÓN"/>
    <s v="SIN NOVEDAD"/>
    <d v="2021-03-15T00:00:00"/>
    <s v="Ingreso de equipo al nuevo formato"/>
    <d v="2021-04-12T00:00:00"/>
    <s v="NO"/>
    <d v="1900-02-01T00:00:00"/>
    <x v="0"/>
  </r>
  <r>
    <x v="7"/>
    <x v="28"/>
    <x v="0"/>
    <x v="9"/>
    <n v="100911"/>
    <d v="2021-06-01T00:00:00"/>
    <s v="NO"/>
    <s v="SIGUE DE OPERACIÓN"/>
    <s v="SIN NOVEDAD"/>
    <d v="2021-03-15T00:00:00"/>
    <s v="Ingreso de equipo al nuevo formato"/>
    <d v="2021-04-12T00:00:00"/>
    <s v="NO"/>
    <d v="1900-02-18T00:00:00"/>
    <x v="0"/>
  </r>
  <r>
    <x v="7"/>
    <x v="28"/>
    <x v="2"/>
    <x v="7"/>
    <s v="984600LW"/>
    <d v="2021-06-04T00:00:00"/>
    <s v="NO"/>
    <s v="SIGUE DE OPERACIÓN"/>
    <s v="SIN NOVEDAD"/>
    <d v="2021-03-15T00:00:00"/>
    <s v="Ingreso de equipo al nuevo formato"/>
    <d v="2021-04-12T00:00:00"/>
    <s v="NO"/>
    <d v="1900-02-21T00:00:00"/>
    <x v="0"/>
  </r>
  <r>
    <x v="7"/>
    <x v="28"/>
    <x v="2"/>
    <x v="7"/>
    <n v="440053"/>
    <d v="2021-06-04T00:00:00"/>
    <s v="NO"/>
    <s v="SIGUE DE OPERACIÓN"/>
    <s v="SIN NOVEDAD"/>
    <d v="2021-03-15T00:00:00"/>
    <s v="Ingreso de equipo al nuevo formato"/>
    <d v="2021-04-12T00:00:00"/>
    <s v="NO"/>
    <d v="1900-02-21T00:00:00"/>
    <x v="0"/>
  </r>
  <r>
    <x v="7"/>
    <x v="28"/>
    <x v="1"/>
    <x v="46"/>
    <s v="2G13SQ1151"/>
    <d v="2021-06-11T00:00:00"/>
    <s v="NO"/>
    <s v="SIGUE DE OPERACIÓN"/>
    <s v="SIN NOVEDAD"/>
    <d v="2021-03-15T00:00:00"/>
    <s v="Ingreso de equipo al nuevo formato"/>
    <d v="2021-04-12T00:00:00"/>
    <s v="NO"/>
    <d v="1900-02-28T00:00:00"/>
    <x v="0"/>
  </r>
  <r>
    <x v="7"/>
    <x v="28"/>
    <x v="0"/>
    <x v="14"/>
    <s v="56EMN65T6VABW7X8"/>
    <d v="2021-06-16T00:00:00"/>
    <s v="NO"/>
    <s v="SIGUE DE OPERACIÓN"/>
    <s v="SIN NOVEDAD"/>
    <d v="2021-03-15T00:00:00"/>
    <s v="Ingreso de equipo al nuevo formato"/>
    <d v="2021-04-12T00:00:00"/>
    <s v="NO"/>
    <d v="1900-03-05T00:00:00"/>
    <x v="0"/>
  </r>
  <r>
    <x v="7"/>
    <x v="28"/>
    <x v="2"/>
    <x v="9"/>
    <n v="887345"/>
    <d v="2021-06-19T00:00:00"/>
    <s v="NO"/>
    <s v="SIGUE DE OPERACIÓN"/>
    <s v="SIN NOVEDAD"/>
    <d v="2021-03-15T00:00:00"/>
    <s v="Ingreso de equipo al nuevo formato"/>
    <d v="2021-04-12T00:00:00"/>
    <s v="NO"/>
    <d v="1900-03-08T00:00:00"/>
    <x v="0"/>
  </r>
  <r>
    <x v="7"/>
    <x v="28"/>
    <x v="2"/>
    <x v="7"/>
    <s v="002901P9"/>
    <d v="2021-07-27T00:00:00"/>
    <s v="NO"/>
    <s v="SIGUE DE OPERACIÓN"/>
    <s v="SIN NOVEDAD"/>
    <d v="2021-03-15T00:00:00"/>
    <s v="Ingreso de equipo al nuevo formato"/>
    <d v="2021-04-12T00:00:00"/>
    <s v="NO"/>
    <d v="1900-04-15T00:00:00"/>
    <x v="0"/>
  </r>
  <r>
    <x v="7"/>
    <x v="28"/>
    <x v="1"/>
    <x v="9"/>
    <n v="100386"/>
    <d v="2021-08-12T00:00:00"/>
    <s v="NO"/>
    <s v="SIGUE DE OPERACIÓN"/>
    <s v="SIN NOVEDAD"/>
    <d v="2021-03-15T00:00:00"/>
    <s v="Ingreso de equipo al nuevo formato"/>
    <d v="2021-04-12T00:00:00"/>
    <s v="NO"/>
    <d v="1900-05-01T00:00:00"/>
    <x v="0"/>
  </r>
  <r>
    <x v="7"/>
    <x v="28"/>
    <x v="1"/>
    <x v="46"/>
    <s v="2G16SU1169   "/>
    <d v="2021-08-27T00:00:00"/>
    <s v="NO"/>
    <s v="SIGUE DE OPERACIÓN"/>
    <s v="SIN NOVEDAD"/>
    <d v="2021-03-15T00:00:00"/>
    <s v="Ingreso de equipo al nuevo formato"/>
    <d v="2021-04-12T00:00:00"/>
    <s v="NO"/>
    <d v="1900-05-16T00:00:00"/>
    <x v="0"/>
  </r>
  <r>
    <x v="7"/>
    <x v="28"/>
    <x v="1"/>
    <x v="46"/>
    <s v="2G16SU1171"/>
    <d v="2021-08-27T00:00:00"/>
    <s v="NO"/>
    <s v="SIGUE DE OPERACIÓN"/>
    <s v="SIN NOVEDAD"/>
    <d v="2021-03-15T00:00:00"/>
    <s v="Ingreso de equipo al nuevo formato"/>
    <d v="2021-04-12T00:00:00"/>
    <s v="NO"/>
    <d v="1900-05-16T00:00:00"/>
    <x v="0"/>
  </r>
  <r>
    <x v="7"/>
    <x v="28"/>
    <x v="0"/>
    <x v="14"/>
    <s v="9E4CS4BP881LXTTB"/>
    <d v="2021-08-28T00:00:00"/>
    <s v="NO"/>
    <s v="SIGUE DE OPERACIÓN"/>
    <s v="SIN NOVEDAD"/>
    <d v="2021-03-15T00:00:00"/>
    <s v="Ingreso de equipo al nuevo formato"/>
    <d v="2021-04-12T00:00:00"/>
    <s v="NO"/>
    <d v="1900-05-17T00:00:00"/>
    <x v="0"/>
  </r>
  <r>
    <x v="7"/>
    <x v="28"/>
    <x v="0"/>
    <x v="14"/>
    <s v="C1C1MEXK8SXVN58F"/>
    <d v="2021-08-28T00:00:00"/>
    <s v="NO"/>
    <s v="SIGUE DE OPERACIÓN"/>
    <s v="SIN NOVEDAD"/>
    <d v="2021-03-15T00:00:00"/>
    <s v="Ingreso de equipo al nuevo formato"/>
    <d v="2021-04-12T00:00:00"/>
    <s v="NO"/>
    <d v="1900-05-17T00:00:00"/>
    <x v="0"/>
  </r>
  <r>
    <x v="7"/>
    <x v="28"/>
    <x v="3"/>
    <x v="45"/>
    <s v="JD42591CA "/>
    <d v="2021-11-25T00:00:00"/>
    <s v="NO"/>
    <s v="SIGUE DE OPERACIÓN"/>
    <s v="SIN NOVEDAD"/>
    <d v="2021-03-15T00:00:00"/>
    <s v="Ingreso de equipo al nuevo formato"/>
    <d v="2021-04-12T00:00:00"/>
    <s v="NO"/>
    <d v="1900-08-14T00:00:00"/>
    <x v="0"/>
  </r>
  <r>
    <x v="7"/>
    <x v="28"/>
    <x v="3"/>
    <x v="47"/>
    <s v="16G1804"/>
    <d v="2021-11-25T00:00:00"/>
    <s v="NO"/>
    <s v="SIGUE DE OPERACIÓN"/>
    <s v="SIN NOVEDAD"/>
    <d v="2021-03-15T00:00:00"/>
    <s v="Ingreso de equipo al nuevo formato"/>
    <d v="2021-04-12T00:00:00"/>
    <s v="NO"/>
    <d v="1900-08-14T00:00:00"/>
    <x v="0"/>
  </r>
  <r>
    <x v="7"/>
    <x v="28"/>
    <x v="2"/>
    <x v="7"/>
    <s v="003102JA"/>
    <d v="2021-11-30T00:00:00"/>
    <s v="NO"/>
    <s v="SIGUE DE OPERACIÓN"/>
    <s v="SIN NOVEDAD"/>
    <d v="2021-03-15T00:00:00"/>
    <s v="Ingreso de equipo al nuevo formato"/>
    <d v="2021-04-12T00:00:00"/>
    <s v="NO"/>
    <d v="1900-08-19T00:00:00"/>
    <x v="0"/>
  </r>
  <r>
    <x v="7"/>
    <x v="28"/>
    <x v="2"/>
    <x v="7"/>
    <s v="0552000T"/>
    <d v="2021-11-30T00:00:00"/>
    <s v="NO"/>
    <s v="SIGUE DE OPERACIÓN"/>
    <s v="SIN NOVEDAD"/>
    <d v="2021-03-15T00:00:00"/>
    <s v="Ingreso de equipo al nuevo formato"/>
    <d v="2021-04-12T00:00:00"/>
    <s v="NO"/>
    <d v="1900-08-19T00:00:00"/>
    <x v="0"/>
  </r>
  <r>
    <x v="7"/>
    <x v="28"/>
    <x v="0"/>
    <x v="14"/>
    <s v="K1MFF9RTMYWVYGPN"/>
    <d v="2021-12-07T00:00:00"/>
    <s v="NO"/>
    <s v="SIGUE DE OPERACIÓN"/>
    <s v="SIN NOVEDAD"/>
    <d v="2021-03-15T00:00:00"/>
    <s v="Ingreso de equipo al nuevo formato"/>
    <d v="2021-04-12T00:00:00"/>
    <s v="NO"/>
    <d v="1900-08-26T00:00:00"/>
    <x v="0"/>
  </r>
  <r>
    <x v="7"/>
    <x v="28"/>
    <x v="0"/>
    <x v="14"/>
    <s v="FW9VTTEDR8TXBF3X"/>
    <d v="2021-12-09T00:00:00"/>
    <s v="NO"/>
    <s v="SIGUE DE OPERACIÓN"/>
    <s v="SIN NOVEDAD"/>
    <d v="2021-03-15T00:00:00"/>
    <s v="Ingreso de equipo al nuevo formato"/>
    <d v="2021-04-12T00:00:00"/>
    <s v="NO"/>
    <d v="1900-08-28T00:00:00"/>
    <x v="0"/>
  </r>
  <r>
    <x v="7"/>
    <x v="28"/>
    <x v="1"/>
    <x v="48"/>
    <s v="2C17PT4007"/>
    <d v="2021-12-09T00:00:00"/>
    <s v="NO"/>
    <s v="SIGUE DE OPERACIÓN"/>
    <s v="SIN NOVEDAD"/>
    <d v="2021-03-15T00:00:00"/>
    <s v="Ingreso de equipo al nuevo formato"/>
    <d v="2021-04-12T00:00:00"/>
    <s v="NO"/>
    <d v="1900-08-28T00:00:00"/>
    <x v="0"/>
  </r>
  <r>
    <x v="7"/>
    <x v="28"/>
    <x v="0"/>
    <x v="14"/>
    <s v="WW9ET2ZP5PVXXNTS"/>
    <d v="2021-03-30T00:00:00"/>
    <s v="NO"/>
    <s v="SIGUE DE OPERACIÓN"/>
    <s v="SIN NOVEDAD"/>
    <d v="2021-03-15T00:00:00"/>
    <s v="Ingreso de equipo al nuevo formato"/>
    <d v="2021-04-12T00:00:00"/>
    <s v="SI"/>
    <n v="-13"/>
    <x v="2"/>
  </r>
  <r>
    <x v="8"/>
    <x v="29"/>
    <x v="1"/>
    <x v="3"/>
    <n v="6201394942"/>
    <d v="2021-03-23T00:00:00"/>
    <s v="NO"/>
    <s v="SIGUE DE OPERACIÓN"/>
    <s v="SIN NOVEDAD"/>
    <d v="2021-03-15T00:00:00"/>
    <s v="Ingreso de equipo al nuevo formato"/>
    <d v="2021-04-12T00:00:00"/>
    <s v="SI"/>
    <n v="-20"/>
    <x v="2"/>
  </r>
  <r>
    <x v="8"/>
    <x v="29"/>
    <x v="1"/>
    <x v="3"/>
    <s v="6C00007916"/>
    <d v="2021-05-05T00:00:00"/>
    <s v="NO"/>
    <s v="SIGUE DE OPERACIÓN"/>
    <s v="SIN NOVEDAD"/>
    <d v="2021-03-15T00:00:00"/>
    <s v="Ingreso de equipo al nuevo formato"/>
    <d v="2021-04-12T00:00:00"/>
    <s v="NO"/>
    <d v="1900-01-22T00:00:00"/>
    <x v="0"/>
  </r>
  <r>
    <x v="8"/>
    <x v="29"/>
    <x v="2"/>
    <x v="9"/>
    <n v="815169"/>
    <d v="2021-05-06T00:00:00"/>
    <s v="NO"/>
    <s v="SIGUE DE OPERACIÓN"/>
    <s v="SIN NOVEDAD"/>
    <d v="2021-03-15T00:00:00"/>
    <s v="Ingreso de equipo al nuevo formato"/>
    <d v="2021-04-12T00:00:00"/>
    <s v="NO"/>
    <d v="1900-01-23T00:00:00"/>
    <x v="0"/>
  </r>
  <r>
    <x v="8"/>
    <x v="29"/>
    <x v="2"/>
    <x v="9"/>
    <n v="855166"/>
    <d v="2021-05-06T00:00:00"/>
    <s v="NO"/>
    <s v="SIGUE DE OPERACIÓN"/>
    <s v="SIN NOVEDAD"/>
    <d v="2021-03-15T00:00:00"/>
    <s v="Ingreso de equipo al nuevo formato"/>
    <d v="2021-04-12T00:00:00"/>
    <s v="NO"/>
    <d v="1900-01-23T00:00:00"/>
    <x v="0"/>
  </r>
  <r>
    <x v="8"/>
    <x v="29"/>
    <x v="2"/>
    <x v="7"/>
    <n v="7240013"/>
    <d v="2021-05-07T00:00:00"/>
    <s v="NO"/>
    <s v="SIGUE DE OPERACIÓN"/>
    <s v="SIN NOVEDAD"/>
    <d v="2021-03-15T00:00:00"/>
    <s v="Ingreso de equipo al nuevo formato"/>
    <d v="2021-04-12T00:00:00"/>
    <s v="NO"/>
    <d v="1900-01-24T00:00:00"/>
    <x v="0"/>
  </r>
  <r>
    <x v="8"/>
    <x v="29"/>
    <x v="2"/>
    <x v="7"/>
    <s v="114700 E8"/>
    <d v="2021-05-07T00:00:00"/>
    <s v="NO"/>
    <s v="SIGUE DE OPERACIÓN"/>
    <s v="SIN NOVEDAD"/>
    <d v="2021-03-15T00:00:00"/>
    <s v="Ingreso de equipo al nuevo formato"/>
    <d v="2021-04-12T00:00:00"/>
    <s v="NO"/>
    <d v="1900-01-24T00:00:00"/>
    <x v="0"/>
  </r>
  <r>
    <x v="8"/>
    <x v="29"/>
    <x v="1"/>
    <x v="3"/>
    <s v="6C00054846"/>
    <d v="2021-05-20T00:00:00"/>
    <s v="NO"/>
    <s v="SIGUE DE OPERACIÓN"/>
    <s v="SIN NOVEDAD"/>
    <d v="2021-03-15T00:00:00"/>
    <s v="Ingreso de equipo al nuevo formato"/>
    <d v="2021-04-12T00:00:00"/>
    <s v="NO"/>
    <d v="1900-02-06T00:00:00"/>
    <x v="0"/>
  </r>
  <r>
    <x v="2"/>
    <x v="29"/>
    <x v="0"/>
    <x v="9"/>
    <s v="AF2001559"/>
    <d v="2021-05-25T00:00:00"/>
    <s v="NO"/>
    <s v="SIGUE DE OPERACIÓN"/>
    <s v="SIN NOVEDAD"/>
    <d v="2021-03-15T00:00:00"/>
    <s v="Ingreso de equipo al nuevo formato"/>
    <d v="2021-04-12T00:00:00"/>
    <s v="NO"/>
    <d v="1900-02-11T00:00:00"/>
    <x v="0"/>
  </r>
  <r>
    <x v="8"/>
    <x v="29"/>
    <x v="0"/>
    <x v="49"/>
    <n v="11626057493"/>
    <d v="2021-06-02T00:00:00"/>
    <s v="NO"/>
    <s v="SIGUE DE OPERACIÓN"/>
    <s v="SIN NOVEDAD"/>
    <d v="2021-03-15T00:00:00"/>
    <s v="Ingreso de equipo al nuevo formato"/>
    <d v="2021-04-12T00:00:00"/>
    <s v="NO"/>
    <d v="1900-02-19T00:00:00"/>
    <x v="0"/>
  </r>
  <r>
    <x v="8"/>
    <x v="29"/>
    <x v="0"/>
    <x v="5"/>
    <s v="S178A 35214"/>
    <d v="2021-06-03T00:00:00"/>
    <s v="NO"/>
    <s v="SIGUE DE OPERACIÓN"/>
    <s v="SIN NOVEDAD"/>
    <d v="2021-03-15T00:00:00"/>
    <s v="Ingreso de equipo al nuevo formato"/>
    <d v="2021-04-12T00:00:00"/>
    <s v="NO"/>
    <d v="1900-02-20T00:00:00"/>
    <x v="0"/>
  </r>
  <r>
    <x v="8"/>
    <x v="29"/>
    <x v="0"/>
    <x v="5"/>
    <s v="S178A 40024"/>
    <d v="2021-06-04T00:00:00"/>
    <s v="NO"/>
    <s v="SIGUE DE OPERACIÓN"/>
    <s v="SIN NOVEDAD"/>
    <d v="2021-03-15T00:00:00"/>
    <s v="Ingreso de equipo al nuevo formato"/>
    <d v="2021-04-12T00:00:00"/>
    <s v="NO"/>
    <d v="1900-02-21T00:00:00"/>
    <x v="0"/>
  </r>
  <r>
    <x v="8"/>
    <x v="29"/>
    <x v="0"/>
    <x v="18"/>
    <s v="V03L20054476"/>
    <d v="2021-07-14T00:00:00"/>
    <s v="NO"/>
    <s v="SIGUE DE OPERACIÓN"/>
    <s v="SIN NOVEDAD"/>
    <d v="2021-03-15T00:00:00"/>
    <s v="Ingreso de equipo al nuevo formato"/>
    <d v="2021-04-12T00:00:00"/>
    <s v="NO"/>
    <d v="1900-04-02T00:00:00"/>
    <x v="0"/>
  </r>
  <r>
    <x v="5"/>
    <x v="29"/>
    <x v="0"/>
    <x v="34"/>
    <s v="AA431804010292"/>
    <d v="2021-07-30T00:00:00"/>
    <s v="NO"/>
    <s v="SIGUE DE OPERACIÓN"/>
    <s v="SIN NOVEDAD"/>
    <d v="2021-03-15T00:00:00"/>
    <s v="Ingreso de equipo al nuevo formato"/>
    <d v="2021-04-12T00:00:00"/>
    <s v="NO"/>
    <d v="1900-04-18T00:00:00"/>
    <x v="0"/>
  </r>
  <r>
    <x v="2"/>
    <x v="29"/>
    <x v="2"/>
    <x v="9"/>
    <n v="120933"/>
    <d v="2021-08-05T00:00:00"/>
    <s v="NO"/>
    <s v="SIGUE DE OPERACIÓN"/>
    <s v="SIN NOVEDAD"/>
    <d v="2021-03-15T00:00:00"/>
    <s v="Ingreso de equipo al nuevo formato"/>
    <d v="2021-04-12T00:00:00"/>
    <s v="NO"/>
    <d v="1900-04-24T00:00:00"/>
    <x v="0"/>
  </r>
  <r>
    <x v="8"/>
    <x v="29"/>
    <x v="0"/>
    <x v="49"/>
    <n v="1530141323"/>
    <d v="2021-08-14T00:00:00"/>
    <s v="NO"/>
    <s v="SIGUE DE OPERACIÓN"/>
    <s v="SIN NOVEDAD"/>
    <d v="2021-03-15T00:00:00"/>
    <s v="Ingreso de equipo al nuevo formato"/>
    <d v="2021-04-12T00:00:00"/>
    <s v="NO"/>
    <d v="1900-05-03T00:00:00"/>
    <x v="0"/>
  </r>
  <r>
    <x v="5"/>
    <x v="29"/>
    <x v="2"/>
    <x v="7"/>
    <s v="001400MR"/>
    <d v="2021-08-20T00:00:00"/>
    <s v="NO"/>
    <s v="SIGUE DE OPERACIÓN"/>
    <s v="SIN NOVEDAD"/>
    <d v="2021-03-15T00:00:00"/>
    <s v="Ingreso de equipo al nuevo formato"/>
    <d v="2021-04-12T00:00:00"/>
    <s v="NO"/>
    <d v="1900-05-09T00:00:00"/>
    <x v="0"/>
  </r>
  <r>
    <x v="5"/>
    <x v="29"/>
    <x v="1"/>
    <x v="10"/>
    <n v="16159066"/>
    <d v="2021-08-21T00:00:00"/>
    <s v="NO"/>
    <s v="SIGUE DE OPERACIÓN"/>
    <s v="SIN NOVEDAD"/>
    <d v="2021-03-15T00:00:00"/>
    <s v="Ingreso de equipo al nuevo formato"/>
    <d v="2021-04-12T00:00:00"/>
    <s v="NO"/>
    <d v="1900-05-10T00:00:00"/>
    <x v="0"/>
  </r>
  <r>
    <x v="2"/>
    <x v="29"/>
    <x v="0"/>
    <x v="9"/>
    <n v="100563"/>
    <d v="2021-09-20T00:00:00"/>
    <s v="NO"/>
    <s v="SIGUE DE OPERACIÓN"/>
    <s v="SIN NOVEDAD"/>
    <d v="2021-03-15T00:00:00"/>
    <s v="Ingreso de equipo al nuevo formato"/>
    <d v="2021-04-12T00:00:00"/>
    <s v="NO"/>
    <d v="1900-06-09T00:00:00"/>
    <x v="0"/>
  </r>
  <r>
    <x v="2"/>
    <x v="29"/>
    <x v="1"/>
    <x v="10"/>
    <s v="19331L056"/>
    <d v="2021-10-19T00:00:00"/>
    <s v="NO"/>
    <s v="SIGUE DE OPERACIÓN"/>
    <s v="SIN NOVEDAD"/>
    <d v="2021-03-15T00:00:00"/>
    <s v="Ingreso de equipo al nuevo formato"/>
    <d v="2021-04-12T00:00:00"/>
    <s v="NO"/>
    <d v="1900-07-08T00:00:00"/>
    <x v="0"/>
  </r>
  <r>
    <x v="8"/>
    <x v="29"/>
    <x v="3"/>
    <x v="50"/>
    <n v="100328717"/>
    <d v="2021-11-20T00:00:00"/>
    <s v="NO"/>
    <s v="SIGUE DE OPERACIÓN"/>
    <s v="SIN NOVEDAD"/>
    <d v="2021-03-15T00:00:00"/>
    <s v="Ingreso de equipo al nuevo formato"/>
    <d v="2021-04-12T00:00:00"/>
    <s v="NO"/>
    <d v="1900-08-09T00:00:00"/>
    <x v="0"/>
  </r>
  <r>
    <x v="8"/>
    <x v="29"/>
    <x v="3"/>
    <x v="50"/>
    <n v="100328715"/>
    <d v="2021-11-20T00:00:00"/>
    <s v="NO"/>
    <s v="SIGUE DE OPERACIÓN"/>
    <s v="SIN NOVEDAD"/>
    <d v="2021-03-15T00:00:00"/>
    <s v="Ingreso de equipo al nuevo formato"/>
    <d v="2021-04-12T00:00:00"/>
    <s v="NO"/>
    <d v="1900-08-09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E6AA-0C4E-4923-AC48-6464A19BA651}" name="TablaDinámica2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gridDropZones="1" multipleFieldFilters="0" chartFormat="2">
  <location ref="H8:M43" firstHeaderRow="1" firstDataRow="2" firstDataCol="2"/>
  <pivotFields count="15">
    <pivotField axis="axisRow" dataField="1" compact="0" outline="0" showAll="0" defaultSubtotal="0">
      <items count="9">
        <item x="5"/>
        <item x="4"/>
        <item x="8"/>
        <item x="0"/>
        <item x="6"/>
        <item x="7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4"/>
        <item x="2"/>
        <item x="0"/>
        <item m="1" x="5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4">
    <i>
      <x/>
      <x v="7"/>
    </i>
    <i r="1">
      <x v="8"/>
    </i>
    <i r="1">
      <x v="10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4"/>
    </i>
    <i r="1">
      <x v="29"/>
    </i>
    <i>
      <x v="1"/>
      <x v="3"/>
    </i>
    <i>
      <x v="2"/>
      <x v="29"/>
    </i>
    <i>
      <x v="3"/>
      <x/>
    </i>
    <i r="1">
      <x v="12"/>
    </i>
    <i>
      <x v="4"/>
      <x v="11"/>
    </i>
    <i r="1">
      <x v="17"/>
    </i>
    <i r="1">
      <x v="18"/>
    </i>
    <i>
      <x v="5"/>
      <x v="28"/>
    </i>
    <i>
      <x v="6"/>
      <x v="2"/>
    </i>
    <i r="1">
      <x v="4"/>
    </i>
    <i r="1">
      <x v="13"/>
    </i>
    <i r="1">
      <x v="25"/>
    </i>
    <i r="1">
      <x v="27"/>
    </i>
    <i>
      <x v="7"/>
      <x v="1"/>
    </i>
    <i r="1">
      <x v="5"/>
    </i>
    <i r="1">
      <x v="9"/>
    </i>
    <i r="1">
      <x v="15"/>
    </i>
    <i r="1">
      <x v="21"/>
    </i>
    <i r="1">
      <x v="26"/>
    </i>
    <i>
      <x v="8"/>
      <x v="2"/>
    </i>
    <i r="1">
      <x v="6"/>
    </i>
    <i r="1">
      <x v="29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uenta de EECC" fld="0" subtotal="count" showDataAs="percentOfRow" baseField="0" baseItem="0" numFmtId="10"/>
  </dataFields>
  <formats count="64">
    <format dxfId="223">
      <pivotArea dataOnly="0" grandCol="1" outline="0" fieldPosition="0"/>
    </format>
    <format dxfId="222">
      <pivotArea outline="0" collapsedLevelsAreSubtotals="1" fieldPosition="0"/>
    </format>
    <format dxfId="221">
      <pivotArea type="topRight" dataOnly="0" labelOnly="1" outline="0" fieldPosition="0"/>
    </format>
    <format dxfId="220">
      <pivotArea dataOnly="0" labelOnly="1" grandCol="1" outline="0" fieldPosition="0"/>
    </format>
    <format dxfId="219">
      <pivotArea outline="0" collapsedLevelsAreSubtotals="1" fieldPosition="0"/>
    </format>
    <format dxfId="218">
      <pivotArea type="topRight" dataOnly="0" labelOnly="1" outline="0" fieldPosition="0"/>
    </format>
    <format dxfId="217">
      <pivotArea dataOnly="0" labelOnly="1" grandCol="1" outline="0" fieldPosition="0"/>
    </format>
    <format dxfId="216">
      <pivotArea type="origin" dataOnly="0" labelOnly="1" outline="0" fieldPosition="0"/>
    </format>
    <format dxfId="215">
      <pivotArea field="0" type="button" dataOnly="0" labelOnly="1" outline="0" axis="axisRow" fieldPosition="0"/>
    </format>
    <format dxfId="214">
      <pivotArea field="1" type="button" dataOnly="0" labelOnly="1" outline="0" axis="axisRow" fieldPosition="1"/>
    </format>
    <format dxfId="213">
      <pivotArea dataOnly="0" labelOnly="1" outline="0" fieldPosition="0">
        <references count="1">
          <reference field="0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2">
          <reference field="0" count="1" selected="0">
            <x v="0"/>
          </reference>
          <reference field="1" count="11">
            <x v="7"/>
            <x v="8"/>
            <x v="10"/>
            <x v="14"/>
            <x v="16"/>
            <x v="19"/>
            <x v="20"/>
            <x v="22"/>
            <x v="23"/>
            <x v="24"/>
            <x v="29"/>
          </reference>
        </references>
      </pivotArea>
    </format>
    <format dxfId="210">
      <pivotArea dataOnly="0" labelOnly="1" outline="0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09">
      <pivotArea dataOnly="0" labelOnly="1" outline="0" fieldPosition="0">
        <references count="2">
          <reference field="0" count="1" selected="0">
            <x v="2"/>
          </reference>
          <reference field="1" count="1">
            <x v="29"/>
          </reference>
        </references>
      </pivotArea>
    </format>
    <format dxfId="208">
      <pivotArea dataOnly="0" labelOnly="1" outline="0" fieldPosition="0">
        <references count="2">
          <reference field="0" count="1" selected="0">
            <x v="3"/>
          </reference>
          <reference field="1" count="2">
            <x v="0"/>
            <x v="12"/>
          </reference>
        </references>
      </pivotArea>
    </format>
    <format dxfId="207">
      <pivotArea dataOnly="0" labelOnly="1" outline="0" fieldPosition="0">
        <references count="2">
          <reference field="0" count="1" selected="0">
            <x v="4"/>
          </reference>
          <reference field="1" count="3">
            <x v="11"/>
            <x v="17"/>
            <x v="18"/>
          </reference>
        </references>
      </pivotArea>
    </format>
    <format dxfId="206">
      <pivotArea dataOnly="0" labelOnly="1" outline="0" fieldPosition="0">
        <references count="2">
          <reference field="0" count="1" selected="0">
            <x v="5"/>
          </reference>
          <reference field="1" count="1">
            <x v="28"/>
          </reference>
        </references>
      </pivotArea>
    </format>
    <format dxfId="205">
      <pivotArea dataOnly="0" labelOnly="1" outline="0" fieldPosition="0">
        <references count="2">
          <reference field="0" count="1" selected="0">
            <x v="6"/>
          </reference>
          <reference field="1" count="5">
            <x v="2"/>
            <x v="4"/>
            <x v="13"/>
            <x v="25"/>
            <x v="27"/>
          </reference>
        </references>
      </pivotArea>
    </format>
    <format dxfId="204">
      <pivotArea dataOnly="0" labelOnly="1" outline="0" fieldPosition="0">
        <references count="2">
          <reference field="0" count="1" selected="0">
            <x v="7"/>
          </reference>
          <reference field="1" count="6">
            <x v="1"/>
            <x v="5"/>
            <x v="9"/>
            <x v="15"/>
            <x v="21"/>
            <x v="26"/>
          </reference>
        </references>
      </pivotArea>
    </format>
    <format dxfId="203">
      <pivotArea dataOnly="0" labelOnly="1" outline="0" fieldPosition="0">
        <references count="2">
          <reference field="0" count="1" selected="0">
            <x v="8"/>
          </reference>
          <reference field="1" count="3">
            <x v="2"/>
            <x v="6"/>
            <x v="29"/>
          </reference>
        </references>
      </pivotArea>
    </format>
    <format dxfId="202">
      <pivotArea type="origin" dataOnly="0" labelOnly="1" outline="0" fieldPosition="0"/>
    </format>
    <format dxfId="201">
      <pivotArea field="0" type="button" dataOnly="0" labelOnly="1" outline="0" axis="axisRow" fieldPosition="0"/>
    </format>
    <format dxfId="200">
      <pivotArea dataOnly="0" labelOnly="1" outline="0" fieldPosition="0">
        <references count="1">
          <reference field="0" count="0"/>
        </references>
      </pivotArea>
    </format>
    <format dxfId="199">
      <pivotArea dataOnly="0" labelOnly="1" grandRow="1" outline="0" fieldPosition="0"/>
    </format>
    <format dxfId="198">
      <pivotArea dataOnly="0" labelOnly="1" outline="0" fieldPosition="0">
        <references count="2">
          <reference field="0" count="1" selected="0">
            <x v="0"/>
          </reference>
          <reference field="1" count="11">
            <x v="7"/>
            <x v="8"/>
            <x v="10"/>
            <x v="14"/>
            <x v="16"/>
            <x v="19"/>
            <x v="20"/>
            <x v="22"/>
            <x v="23"/>
            <x v="24"/>
            <x v="29"/>
          </reference>
        </references>
      </pivotArea>
    </format>
    <format dxfId="197">
      <pivotArea dataOnly="0" labelOnly="1" outline="0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196">
      <pivotArea dataOnly="0" labelOnly="1" outline="0" fieldPosition="0">
        <references count="2">
          <reference field="0" count="1" selected="0">
            <x v="2"/>
          </reference>
          <reference field="1" count="1">
            <x v="29"/>
          </reference>
        </references>
      </pivotArea>
    </format>
    <format dxfId="195">
      <pivotArea dataOnly="0" labelOnly="1" outline="0" fieldPosition="0">
        <references count="2">
          <reference field="0" count="1" selected="0">
            <x v="3"/>
          </reference>
          <reference field="1" count="2">
            <x v="0"/>
            <x v="12"/>
          </reference>
        </references>
      </pivotArea>
    </format>
    <format dxfId="194">
      <pivotArea dataOnly="0" labelOnly="1" outline="0" fieldPosition="0">
        <references count="2">
          <reference field="0" count="1" selected="0">
            <x v="4"/>
          </reference>
          <reference field="1" count="3">
            <x v="11"/>
            <x v="17"/>
            <x v="18"/>
          </reference>
        </references>
      </pivotArea>
    </format>
    <format dxfId="193">
      <pivotArea dataOnly="0" labelOnly="1" outline="0" fieldPosition="0">
        <references count="2">
          <reference field="0" count="1" selected="0">
            <x v="5"/>
          </reference>
          <reference field="1" count="1">
            <x v="28"/>
          </reference>
        </references>
      </pivotArea>
    </format>
    <format dxfId="192">
      <pivotArea dataOnly="0" labelOnly="1" outline="0" fieldPosition="0">
        <references count="2">
          <reference field="0" count="1" selected="0">
            <x v="6"/>
          </reference>
          <reference field="1" count="5">
            <x v="2"/>
            <x v="4"/>
            <x v="13"/>
            <x v="25"/>
            <x v="27"/>
          </reference>
        </references>
      </pivotArea>
    </format>
    <format dxfId="191">
      <pivotArea dataOnly="0" labelOnly="1" outline="0" fieldPosition="0">
        <references count="2">
          <reference field="0" count="1" selected="0">
            <x v="7"/>
          </reference>
          <reference field="1" count="6">
            <x v="1"/>
            <x v="5"/>
            <x v="9"/>
            <x v="15"/>
            <x v="21"/>
            <x v="26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8"/>
          </reference>
          <reference field="1" count="3">
            <x v="2"/>
            <x v="6"/>
            <x v="29"/>
          </reference>
        </references>
      </pivotArea>
    </format>
    <format dxfId="189">
      <pivotArea field="1" type="button" dataOnly="0" labelOnly="1" outline="0" axis="axisRow" fieldPosition="1"/>
    </format>
    <format dxfId="188">
      <pivotArea field="0" type="button" dataOnly="0" labelOnly="1" outline="0" axis="axisRow" fieldPosition="0"/>
    </format>
    <format dxfId="187">
      <pivotArea field="1" type="button" dataOnly="0" labelOnly="1" outline="0" axis="axisRow" fieldPosition="1"/>
    </format>
    <format dxfId="186">
      <pivotArea dataOnly="0" labelOnly="1" grandCol="1" outline="0" fieldPosition="0"/>
    </format>
    <format dxfId="185">
      <pivotArea field="0" type="button" dataOnly="0" labelOnly="1" outline="0" axis="axisRow" fieldPosition="0"/>
    </format>
    <format dxfId="184">
      <pivotArea field="1" type="button" dataOnly="0" labelOnly="1" outline="0" axis="axisRow" fieldPosition="1"/>
    </format>
    <format dxfId="183">
      <pivotArea dataOnly="0" labelOnly="1" grandCol="1" outline="0" fieldPosition="0"/>
    </format>
    <format dxfId="182">
      <pivotArea dataOnly="0" labelOnly="1" grandRow="1" outline="0" fieldPosition="0"/>
    </format>
    <format dxfId="181">
      <pivotArea field="1" type="button" dataOnly="0" labelOnly="1" outline="0" axis="axisRow" fieldPosition="1"/>
    </format>
    <format dxfId="180">
      <pivotArea dataOnly="0" labelOnly="1" grandRow="1" outline="0" fieldPosition="0"/>
    </format>
    <format dxfId="179">
      <pivotArea field="0" type="button" dataOnly="0" labelOnly="1" outline="0" axis="axisRow" fieldPosition="0"/>
    </format>
    <format dxfId="178">
      <pivotArea dataOnly="0" labelOnly="1" outline="0" fieldPosition="0">
        <references count="1">
          <reference field="0" count="0"/>
        </references>
      </pivotArea>
    </format>
    <format dxfId="177">
      <pivotArea dataOnly="0" labelOnly="1" grandRow="1" outline="0" fieldPosition="0"/>
    </format>
    <format dxfId="176">
      <pivotArea type="origin" dataOnly="0" labelOnly="1" outline="0" fieldPosition="0"/>
    </format>
    <format dxfId="175">
      <pivotArea type="topRight" dataOnly="0" labelOnly="1" outline="0" offset="A1:B1" fieldPosition="0"/>
    </format>
    <format dxfId="174">
      <pivotArea field="0" type="button" dataOnly="0" labelOnly="1" outline="0" axis="axisRow" fieldPosition="0"/>
    </format>
    <format dxfId="173">
      <pivotArea field="1" type="button" dataOnly="0" labelOnly="1" outline="0" axis="axisRow" fieldPosition="1"/>
    </format>
    <format dxfId="172">
      <pivotArea field="0" type="button" dataOnly="0" labelOnly="1" outline="0" axis="axisRow" fieldPosition="0"/>
    </format>
    <format dxfId="171">
      <pivotArea field="1" type="button" dataOnly="0" labelOnly="1" outline="0" axis="axisRow" fieldPosition="1"/>
    </format>
    <format dxfId="170">
      <pivotArea type="origin" dataOnly="0" labelOnly="1" outline="0" fieldPosition="0"/>
    </format>
    <format dxfId="169">
      <pivotArea type="topRight" dataOnly="0" labelOnly="1" outline="0" offset="A1:B1" fieldPosition="0"/>
    </format>
    <format dxfId="168">
      <pivotArea field="0" type="button" dataOnly="0" labelOnly="1" outline="0" axis="axisRow" fieldPosition="0"/>
    </format>
    <format dxfId="167">
      <pivotArea field="1" type="button" dataOnly="0" labelOnly="1" outline="0" axis="axisRow" fieldPosition="1"/>
    </format>
    <format dxfId="166">
      <pivotArea field="0" type="button" dataOnly="0" labelOnly="1" outline="0" axis="axisRow" fieldPosition="0"/>
    </format>
    <format dxfId="165">
      <pivotArea field="1" type="button" dataOnly="0" labelOnly="1" outline="0" axis="axisRow" fieldPosition="1"/>
    </format>
    <format dxfId="164">
      <pivotArea field="0" type="button" dataOnly="0" labelOnly="1" outline="0" axis="axisRow" fieldPosition="0"/>
    </format>
    <format dxfId="163">
      <pivotArea field="1" type="button" dataOnly="0" labelOnly="1" outline="0" axis="axisRow" fieldPosition="1"/>
    </format>
    <format dxfId="162">
      <pivotArea dataOnly="0" labelOnly="1" outline="0" fieldPosition="0">
        <references count="1">
          <reference field="14" count="0"/>
        </references>
      </pivotArea>
    </format>
    <format dxfId="161">
      <pivotArea dataOnly="0" labelOnly="1" outline="0" fieldPosition="0">
        <references count="1">
          <reference field="14" count="0"/>
        </references>
      </pivotArea>
    </format>
    <format dxfId="160">
      <pivotArea dataOnly="0" labelOnly="1" outline="0" fieldPosition="0">
        <references count="1">
          <reference field="14" count="0"/>
        </references>
      </pivotArea>
    </format>
  </formats>
  <conditionalFormats count="3">
    <conditionalFormat priority="15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1" count="3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14" count="1" selected="0">
              <x v="0"/>
            </reference>
          </references>
        </pivotArea>
      </pivotAreas>
    </conditionalFormat>
    <conditionalFormat priority="14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1" count="3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14" count="1" selected="0">
              <x v="1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  <reference field="1" count="30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</reference>
            <reference field="14" count="1" selected="0">
              <x v="2"/>
            </reference>
          </references>
        </pivotArea>
      </pivotAreas>
    </conditionalFormat>
  </conditional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9297E-441E-424E-94E7-B200BDEFE202}" name="TablaDinámica1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gridDropZones="1" multipleFieldFilters="0">
  <location ref="A8:F43" firstHeaderRow="1" firstDataRow="2" firstDataCol="2"/>
  <pivotFields count="15">
    <pivotField axis="axisRow" dataField="1" compact="0" outline="0" showAll="0" defaultSubtotal="0">
      <items count="9">
        <item x="5"/>
        <item x="4"/>
        <item x="8"/>
        <item x="0"/>
        <item x="6"/>
        <item x="7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4"/>
        <item x="2"/>
        <item x="0"/>
        <item m="1" x="5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4">
    <i>
      <x/>
      <x v="7"/>
    </i>
    <i r="1">
      <x v="8"/>
    </i>
    <i r="1">
      <x v="10"/>
    </i>
    <i r="1">
      <x v="14"/>
    </i>
    <i r="1">
      <x v="16"/>
    </i>
    <i r="1">
      <x v="19"/>
    </i>
    <i r="1">
      <x v="20"/>
    </i>
    <i r="1">
      <x v="22"/>
    </i>
    <i r="1">
      <x v="23"/>
    </i>
    <i r="1">
      <x v="24"/>
    </i>
    <i r="1">
      <x v="29"/>
    </i>
    <i>
      <x v="1"/>
      <x v="3"/>
    </i>
    <i>
      <x v="2"/>
      <x v="29"/>
    </i>
    <i>
      <x v="3"/>
      <x/>
    </i>
    <i r="1">
      <x v="12"/>
    </i>
    <i>
      <x v="4"/>
      <x v="11"/>
    </i>
    <i r="1">
      <x v="17"/>
    </i>
    <i r="1">
      <x v="18"/>
    </i>
    <i>
      <x v="5"/>
      <x v="28"/>
    </i>
    <i>
      <x v="6"/>
      <x v="2"/>
    </i>
    <i r="1">
      <x v="4"/>
    </i>
    <i r="1">
      <x v="13"/>
    </i>
    <i r="1">
      <x v="25"/>
    </i>
    <i r="1">
      <x v="27"/>
    </i>
    <i>
      <x v="7"/>
      <x v="1"/>
    </i>
    <i r="1">
      <x v="5"/>
    </i>
    <i r="1">
      <x v="9"/>
    </i>
    <i r="1">
      <x v="15"/>
    </i>
    <i r="1">
      <x v="21"/>
    </i>
    <i r="1">
      <x v="26"/>
    </i>
    <i>
      <x v="8"/>
      <x v="2"/>
    </i>
    <i r="1">
      <x v="6"/>
    </i>
    <i r="1">
      <x v="29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uenta de EECC" fld="0" subtotal="count" baseField="0" baseItem="0"/>
  </dataFields>
  <formats count="57">
    <format dxfId="280">
      <pivotArea outline="0" collapsedLevelsAreSubtotals="1" fieldPosition="0"/>
    </format>
    <format dxfId="279">
      <pivotArea type="topRight" dataOnly="0" labelOnly="1" outline="0" fieldPosition="0"/>
    </format>
    <format dxfId="278">
      <pivotArea outline="0" collapsedLevelsAreSubtotals="1" fieldPosition="0"/>
    </format>
    <format dxfId="277">
      <pivotArea type="topRight" dataOnly="0" labelOnly="1" outline="0" fieldPosition="0"/>
    </format>
    <format dxfId="276">
      <pivotArea type="origin" dataOnly="0" labelOnly="1" outline="0" fieldPosition="0"/>
    </format>
    <format dxfId="275">
      <pivotArea field="0" type="button" dataOnly="0" labelOnly="1" outline="0" axis="axisRow" fieldPosition="0"/>
    </format>
    <format dxfId="274">
      <pivotArea field="1" type="button" dataOnly="0" labelOnly="1" outline="0" axis="axisRow" fieldPosition="1"/>
    </format>
    <format dxfId="273">
      <pivotArea dataOnly="0" labelOnly="1" outline="0" fieldPosition="0">
        <references count="1">
          <reference field="0" count="0"/>
        </references>
      </pivotArea>
    </format>
    <format dxfId="272">
      <pivotArea dataOnly="0" labelOnly="1" grandRow="1" outline="0" fieldPosition="0"/>
    </format>
    <format dxfId="271">
      <pivotArea dataOnly="0" labelOnly="1" outline="0" fieldPosition="0">
        <references count="2">
          <reference field="0" count="1" selected="0">
            <x v="0"/>
          </reference>
          <reference field="1" count="11">
            <x v="7"/>
            <x v="8"/>
            <x v="10"/>
            <x v="14"/>
            <x v="16"/>
            <x v="19"/>
            <x v="20"/>
            <x v="22"/>
            <x v="23"/>
            <x v="24"/>
            <x v="29"/>
          </reference>
        </references>
      </pivotArea>
    </format>
    <format dxfId="270">
      <pivotArea dataOnly="0" labelOnly="1" outline="0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69">
      <pivotArea dataOnly="0" labelOnly="1" outline="0" fieldPosition="0">
        <references count="2">
          <reference field="0" count="1" selected="0">
            <x v="2"/>
          </reference>
          <reference field="1" count="1">
            <x v="29"/>
          </reference>
        </references>
      </pivotArea>
    </format>
    <format dxfId="268">
      <pivotArea dataOnly="0" labelOnly="1" outline="0" fieldPosition="0">
        <references count="2">
          <reference field="0" count="1" selected="0">
            <x v="3"/>
          </reference>
          <reference field="1" count="2">
            <x v="0"/>
            <x v="12"/>
          </reference>
        </references>
      </pivotArea>
    </format>
    <format dxfId="267">
      <pivotArea dataOnly="0" labelOnly="1" outline="0" fieldPosition="0">
        <references count="2">
          <reference field="0" count="1" selected="0">
            <x v="4"/>
          </reference>
          <reference field="1" count="3">
            <x v="11"/>
            <x v="17"/>
            <x v="18"/>
          </reference>
        </references>
      </pivotArea>
    </format>
    <format dxfId="266">
      <pivotArea dataOnly="0" labelOnly="1" outline="0" fieldPosition="0">
        <references count="2">
          <reference field="0" count="1" selected="0">
            <x v="5"/>
          </reference>
          <reference field="1" count="1">
            <x v="28"/>
          </reference>
        </references>
      </pivotArea>
    </format>
    <format dxfId="265">
      <pivotArea dataOnly="0" labelOnly="1" outline="0" fieldPosition="0">
        <references count="2">
          <reference field="0" count="1" selected="0">
            <x v="6"/>
          </reference>
          <reference field="1" count="5">
            <x v="2"/>
            <x v="4"/>
            <x v="13"/>
            <x v="25"/>
            <x v="27"/>
          </reference>
        </references>
      </pivotArea>
    </format>
    <format dxfId="264">
      <pivotArea dataOnly="0" labelOnly="1" outline="0" fieldPosition="0">
        <references count="2">
          <reference field="0" count="1" selected="0">
            <x v="7"/>
          </reference>
          <reference field="1" count="6">
            <x v="1"/>
            <x v="5"/>
            <x v="9"/>
            <x v="15"/>
            <x v="21"/>
            <x v="26"/>
          </reference>
        </references>
      </pivotArea>
    </format>
    <format dxfId="263">
      <pivotArea dataOnly="0" labelOnly="1" outline="0" fieldPosition="0">
        <references count="2">
          <reference field="0" count="1" selected="0">
            <x v="8"/>
          </reference>
          <reference field="1" count="3">
            <x v="2"/>
            <x v="6"/>
            <x v="29"/>
          </reference>
        </references>
      </pivotArea>
    </format>
    <format dxfId="262">
      <pivotArea dataOnly="0" labelOnly="1" outline="0" fieldPosition="0">
        <references count="1">
          <reference field="0" count="0"/>
        </references>
      </pivotArea>
    </format>
    <format dxfId="261">
      <pivotArea dataOnly="0" labelOnly="1" grandRow="1" outline="0" fieldPosition="0"/>
    </format>
    <format dxfId="260">
      <pivotArea dataOnly="0" labelOnly="1" outline="0" fieldPosition="0">
        <references count="2">
          <reference field="0" count="1" selected="0">
            <x v="0"/>
          </reference>
          <reference field="1" count="11">
            <x v="7"/>
            <x v="8"/>
            <x v="10"/>
            <x v="14"/>
            <x v="16"/>
            <x v="19"/>
            <x v="20"/>
            <x v="22"/>
            <x v="23"/>
            <x v="24"/>
            <x v="29"/>
          </reference>
        </references>
      </pivotArea>
    </format>
    <format dxfId="259">
      <pivotArea dataOnly="0" labelOnly="1" outline="0" fieldPosition="0">
        <references count="2">
          <reference field="0" count="1" selected="0">
            <x v="1"/>
          </reference>
          <reference field="1" count="1">
            <x v="3"/>
          </reference>
        </references>
      </pivotArea>
    </format>
    <format dxfId="258">
      <pivotArea dataOnly="0" labelOnly="1" outline="0" fieldPosition="0">
        <references count="2">
          <reference field="0" count="1" selected="0">
            <x v="2"/>
          </reference>
          <reference field="1" count="1">
            <x v="29"/>
          </reference>
        </references>
      </pivotArea>
    </format>
    <format dxfId="257">
      <pivotArea dataOnly="0" labelOnly="1" outline="0" fieldPosition="0">
        <references count="2">
          <reference field="0" count="1" selected="0">
            <x v="3"/>
          </reference>
          <reference field="1" count="2">
            <x v="0"/>
            <x v="12"/>
          </reference>
        </references>
      </pivotArea>
    </format>
    <format dxfId="256">
      <pivotArea dataOnly="0" labelOnly="1" outline="0" fieldPosition="0">
        <references count="2">
          <reference field="0" count="1" selected="0">
            <x v="4"/>
          </reference>
          <reference field="1" count="3">
            <x v="11"/>
            <x v="17"/>
            <x v="18"/>
          </reference>
        </references>
      </pivotArea>
    </format>
    <format dxfId="255">
      <pivotArea dataOnly="0" labelOnly="1" outline="0" fieldPosition="0">
        <references count="2">
          <reference field="0" count="1" selected="0">
            <x v="5"/>
          </reference>
          <reference field="1" count="1">
            <x v="28"/>
          </reference>
        </references>
      </pivotArea>
    </format>
    <format dxfId="254">
      <pivotArea dataOnly="0" labelOnly="1" outline="0" fieldPosition="0">
        <references count="2">
          <reference field="0" count="1" selected="0">
            <x v="6"/>
          </reference>
          <reference field="1" count="5">
            <x v="2"/>
            <x v="4"/>
            <x v="13"/>
            <x v="25"/>
            <x v="27"/>
          </reference>
        </references>
      </pivotArea>
    </format>
    <format dxfId="253">
      <pivotArea dataOnly="0" labelOnly="1" outline="0" fieldPosition="0">
        <references count="2">
          <reference field="0" count="1" selected="0">
            <x v="7"/>
          </reference>
          <reference field="1" count="6">
            <x v="1"/>
            <x v="5"/>
            <x v="9"/>
            <x v="15"/>
            <x v="21"/>
            <x v="26"/>
          </reference>
        </references>
      </pivotArea>
    </format>
    <format dxfId="252">
      <pivotArea dataOnly="0" labelOnly="1" outline="0" fieldPosition="0">
        <references count="2">
          <reference field="0" count="1" selected="0">
            <x v="8"/>
          </reference>
          <reference field="1" count="3">
            <x v="2"/>
            <x v="6"/>
            <x v="29"/>
          </reference>
        </references>
      </pivotArea>
    </format>
    <format dxfId="251">
      <pivotArea dataOnly="0" labelOnly="1" grandRow="1" outline="0" fieldPosition="0"/>
    </format>
    <format dxfId="250">
      <pivotArea dataOnly="0" labelOnly="1" grandRow="1" outline="0" fieldPosition="0"/>
    </format>
    <format dxfId="249">
      <pivotArea dataOnly="0" labelOnly="1" outline="0" fieldPosition="0">
        <references count="1">
          <reference field="0" count="0"/>
        </references>
      </pivotArea>
    </format>
    <format dxfId="248">
      <pivotArea type="origin" dataOnly="0" labelOnly="1" outline="0" fieldPosition="0"/>
    </format>
    <format dxfId="247">
      <pivotArea type="topRight" dataOnly="0" labelOnly="1" outline="0" offset="A1:B1" fieldPosition="0"/>
    </format>
    <format dxfId="246">
      <pivotArea field="0" type="button" dataOnly="0" labelOnly="1" outline="0" axis="axisRow" fieldPosition="0"/>
    </format>
    <format dxfId="245">
      <pivotArea field="1" type="button" dataOnly="0" labelOnly="1" outline="0" axis="axisRow" fieldPosition="1"/>
    </format>
    <format dxfId="244">
      <pivotArea type="origin" dataOnly="0" labelOnly="1" outline="0" fieldPosition="0"/>
    </format>
    <format dxfId="243">
      <pivotArea type="topRight" dataOnly="0" labelOnly="1" outline="0" fieldPosition="0"/>
    </format>
    <format dxfId="242">
      <pivotArea field="0" type="button" dataOnly="0" labelOnly="1" outline="0" axis="axisRow" fieldPosition="0"/>
    </format>
    <format dxfId="241">
      <pivotArea field="1" type="button" dataOnly="0" labelOnly="1" outline="0" axis="axisRow" fieldPosition="1"/>
    </format>
    <format dxfId="240">
      <pivotArea type="origin" dataOnly="0" labelOnly="1" outline="0" fieldPosition="0"/>
    </format>
    <format dxfId="239">
      <pivotArea type="topRight" dataOnly="0" labelOnly="1" outline="0" offset="A1:B1" fieldPosition="0"/>
    </format>
    <format dxfId="238">
      <pivotArea field="0" type="button" dataOnly="0" labelOnly="1" outline="0" axis="axisRow" fieldPosition="0"/>
    </format>
    <format dxfId="237">
      <pivotArea field="1" type="button" dataOnly="0" labelOnly="1" outline="0" axis="axisRow" fieldPosition="1"/>
    </format>
    <format dxfId="236">
      <pivotArea field="0" type="button" dataOnly="0" labelOnly="1" outline="0" axis="axisRow" fieldPosition="0"/>
    </format>
    <format dxfId="235">
      <pivotArea field="1" type="button" dataOnly="0" labelOnly="1" outline="0" axis="axisRow" fieldPosition="1"/>
    </format>
    <format dxfId="234">
      <pivotArea field="0" type="button" dataOnly="0" labelOnly="1" outline="0" axis="axisRow" fieldPosition="0"/>
    </format>
    <format dxfId="233">
      <pivotArea field="1" type="button" dataOnly="0" labelOnly="1" outline="0" axis="axisRow" fieldPosition="1"/>
    </format>
    <format dxfId="232">
      <pivotArea field="0" type="button" dataOnly="0" labelOnly="1" outline="0" axis="axisRow" fieldPosition="0"/>
    </format>
    <format dxfId="231">
      <pivotArea field="1" type="button" dataOnly="0" labelOnly="1" outline="0" axis="axisRow" fieldPosition="1"/>
    </format>
    <format dxfId="230">
      <pivotArea dataOnly="0" labelOnly="1" grandCol="1" outline="0" fieldPosition="0"/>
    </format>
    <format dxfId="229">
      <pivotArea dataOnly="0" labelOnly="1" outline="0" fieldPosition="0">
        <references count="1">
          <reference field="14" count="0"/>
        </references>
      </pivotArea>
    </format>
    <format dxfId="228">
      <pivotArea dataOnly="0" labelOnly="1" grandCol="1" outline="0" fieldPosition="0"/>
    </format>
    <format dxfId="227">
      <pivotArea dataOnly="0" labelOnly="1" outline="0" fieldPosition="0">
        <references count="1">
          <reference field="14" count="0"/>
        </references>
      </pivotArea>
    </format>
    <format dxfId="226">
      <pivotArea dataOnly="0" labelOnly="1" grandCol="1" outline="0" fieldPosition="0"/>
    </format>
    <format dxfId="225">
      <pivotArea dataOnly="0" labelOnly="1" outline="0" fieldPosition="0">
        <references count="1">
          <reference field="14" count="0"/>
        </references>
      </pivotArea>
    </format>
    <format dxfId="224">
      <pivotArea dataOnly="0" labelOnly="1" grandCol="1" outline="0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E61F6-7FBD-4307-9FCE-1B21B96BD50B}" name="TablaDinámica2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multipleFieldFilters="0">
  <location ref="A1:A53" firstHeaderRow="1" firstDataRow="1" firstDataCol="1"/>
  <pivotFields count="15">
    <pivotField compact="0" outline="0" showAll="0" defaultSubtotal="0">
      <items count="9">
        <item x="5"/>
        <item x="4"/>
        <item x="8"/>
        <item x="0"/>
        <item x="6"/>
        <item x="7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4"/>
        <item x="2"/>
        <item x="0"/>
        <item m="1" x="5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5">
        <item x="3"/>
        <item x="36"/>
        <item x="32"/>
        <item x="12"/>
        <item x="2"/>
        <item x="7"/>
        <item m="1" x="52"/>
        <item x="15"/>
        <item x="21"/>
        <item x="4"/>
        <item x="28"/>
        <item x="5"/>
        <item x="46"/>
        <item x="37"/>
        <item x="14"/>
        <item m="1" x="51"/>
        <item x="27"/>
        <item x="11"/>
        <item x="16"/>
        <item x="43"/>
        <item x="50"/>
        <item x="34"/>
        <item x="22"/>
        <item x="41"/>
        <item x="20"/>
        <item x="42"/>
        <item x="45"/>
        <item x="38"/>
        <item x="33"/>
        <item x="40"/>
        <item x="48"/>
        <item x="26"/>
        <item x="31"/>
        <item x="25"/>
        <item x="19"/>
        <item x="6"/>
        <item x="13"/>
        <item x="10"/>
        <item x="9"/>
        <item x="18"/>
        <item x="0"/>
        <item m="1" x="53"/>
        <item x="1"/>
        <item x="17"/>
        <item x="39"/>
        <item x="24"/>
        <item x="47"/>
        <item x="44"/>
        <item x="8"/>
        <item x="29"/>
        <item x="49"/>
        <item x="30"/>
        <item x="35"/>
        <item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2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formats count="33">
    <format dxfId="147">
      <pivotArea outline="0" collapsedLevelsAreSubtotals="1" fieldPosition="0"/>
    </format>
    <format dxfId="146">
      <pivotArea type="topRight" dataOnly="0" labelOnly="1" outline="0" fieldPosition="0"/>
    </format>
    <format dxfId="145">
      <pivotArea outline="0" collapsedLevelsAreSubtotals="1" fieldPosition="0"/>
    </format>
    <format dxfId="144">
      <pivotArea type="topRight" dataOnly="0" labelOnly="1" outline="0" fieldPosition="0"/>
    </format>
    <format dxfId="143">
      <pivotArea type="origin" dataOnly="0" labelOnly="1" outline="0" fieldPosition="0"/>
    </format>
    <format dxfId="142">
      <pivotArea field="0" type="button" dataOnly="0" labelOnly="1" outline="0"/>
    </format>
    <format dxfId="141">
      <pivotArea field="1" type="button" dataOnly="0" labelOnly="1" outline="0"/>
    </format>
    <format dxfId="140">
      <pivotArea dataOnly="0" labelOnly="1" grandRow="1" outline="0" fieldPosition="0"/>
    </format>
    <format dxfId="139">
      <pivotArea dataOnly="0" labelOnly="1" grandRow="1" outline="0" fieldPosition="0"/>
    </format>
    <format dxfId="138">
      <pivotArea dataOnly="0" labelOnly="1" grandRow="1" outline="0" fieldPosition="0"/>
    </format>
    <format dxfId="137">
      <pivotArea dataOnly="0" labelOnly="1" grandRow="1" outline="0" fieldPosition="0"/>
    </format>
    <format dxfId="136">
      <pivotArea type="origin" dataOnly="0" labelOnly="1" outline="0" fieldPosition="0"/>
    </format>
    <format dxfId="135">
      <pivotArea type="topRight" dataOnly="0" labelOnly="1" outline="0" offset="A1:B1" fieldPosition="0"/>
    </format>
    <format dxfId="134">
      <pivotArea field="0" type="button" dataOnly="0" labelOnly="1" outline="0"/>
    </format>
    <format dxfId="133">
      <pivotArea field="1" type="button" dataOnly="0" labelOnly="1" outline="0"/>
    </format>
    <format dxfId="132">
      <pivotArea type="origin" dataOnly="0" labelOnly="1" outline="0" fieldPosition="0"/>
    </format>
    <format dxfId="131">
      <pivotArea type="topRight" dataOnly="0" labelOnly="1" outline="0" fieldPosition="0"/>
    </format>
    <format dxfId="130">
      <pivotArea field="0" type="button" dataOnly="0" labelOnly="1" outline="0"/>
    </format>
    <format dxfId="129">
      <pivotArea field="1" type="button" dataOnly="0" labelOnly="1" outline="0"/>
    </format>
    <format dxfId="128">
      <pivotArea type="origin" dataOnly="0" labelOnly="1" outline="0" fieldPosition="0"/>
    </format>
    <format dxfId="127">
      <pivotArea type="topRight" dataOnly="0" labelOnly="1" outline="0" offset="A1:B1" fieldPosition="0"/>
    </format>
    <format dxfId="126">
      <pivotArea field="0" type="button" dataOnly="0" labelOnly="1" outline="0"/>
    </format>
    <format dxfId="125">
      <pivotArea field="1" type="button" dataOnly="0" labelOnly="1" outline="0"/>
    </format>
    <format dxfId="124">
      <pivotArea field="0" type="button" dataOnly="0" labelOnly="1" outline="0"/>
    </format>
    <format dxfId="123">
      <pivotArea field="1" type="button" dataOnly="0" labelOnly="1" outline="0"/>
    </format>
    <format dxfId="122">
      <pivotArea field="0" type="button" dataOnly="0" labelOnly="1" outline="0"/>
    </format>
    <format dxfId="121">
      <pivotArea field="1" type="button" dataOnly="0" labelOnly="1" outline="0"/>
    </format>
    <format dxfId="120">
      <pivotArea field="0" type="button" dataOnly="0" labelOnly="1" outline="0"/>
    </format>
    <format dxfId="119">
      <pivotArea field="1" type="button" dataOnly="0" labelOnly="1" outline="0"/>
    </format>
    <format dxfId="118">
      <pivotArea dataOnly="0" labelOnly="1" grandCol="1" outline="0" fieldPosition="0"/>
    </format>
    <format dxfId="117">
      <pivotArea dataOnly="0" labelOnly="1" grandCol="1" outline="0" fieldPosition="0"/>
    </format>
    <format dxfId="116">
      <pivotArea dataOnly="0" labelOnly="1" grandCol="1" outline="0" fieldPosition="0"/>
    </format>
    <format dxfId="115">
      <pivotArea dataOnly="0" labelOnly="1" grandCol="1" outline="0" fieldPosition="0"/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A5F8F-7782-4705-8A22-253DAD3CEE38}" name="TablaDinámica2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multipleFieldFilters="0">
  <location ref="A3:B65" firstHeaderRow="1" firstDataRow="1" firstDataCol="2"/>
  <pivotFields count="15">
    <pivotField compact="0" outline="0" showAll="0" defaultSubtotal="0">
      <items count="9">
        <item x="5"/>
        <item x="4"/>
        <item x="8"/>
        <item x="0"/>
        <item x="6"/>
        <item x="7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4"/>
        <item x="2"/>
        <item x="0"/>
        <item m="1" x="5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x="3"/>
        <item x="36"/>
        <item x="32"/>
        <item x="12"/>
        <item x="2"/>
        <item x="7"/>
        <item m="1" x="52"/>
        <item x="15"/>
        <item x="21"/>
        <item x="4"/>
        <item x="28"/>
        <item x="5"/>
        <item x="46"/>
        <item x="37"/>
        <item x="14"/>
        <item m="1" x="51"/>
        <item x="27"/>
        <item x="11"/>
        <item x="16"/>
        <item x="43"/>
        <item x="50"/>
        <item x="34"/>
        <item x="22"/>
        <item x="41"/>
        <item x="20"/>
        <item x="42"/>
        <item x="45"/>
        <item x="38"/>
        <item x="33"/>
        <item x="40"/>
        <item x="48"/>
        <item x="26"/>
        <item x="31"/>
        <item x="25"/>
        <item x="19"/>
        <item x="6"/>
        <item x="13"/>
        <item x="10"/>
        <item x="9"/>
        <item x="18"/>
        <item x="0"/>
        <item m="1" x="53"/>
        <item x="1"/>
        <item x="17"/>
        <item x="39"/>
        <item x="24"/>
        <item x="47"/>
        <item x="44"/>
        <item x="8"/>
        <item x="29"/>
        <item x="49"/>
        <item x="30"/>
        <item x="35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62">
    <i>
      <x/>
      <x/>
    </i>
    <i r="1">
      <x v="5"/>
    </i>
    <i>
      <x v="1"/>
      <x v="2"/>
    </i>
    <i>
      <x v="2"/>
      <x v="2"/>
    </i>
    <i>
      <x v="3"/>
      <x v="5"/>
    </i>
    <i>
      <x v="4"/>
      <x v="5"/>
    </i>
    <i>
      <x v="5"/>
      <x v="1"/>
    </i>
    <i>
      <x v="7"/>
      <x v="2"/>
    </i>
    <i r="1">
      <x v="5"/>
    </i>
    <i>
      <x v="8"/>
      <x v="5"/>
    </i>
    <i>
      <x v="9"/>
      <x v="5"/>
    </i>
    <i>
      <x v="10"/>
      <x v="5"/>
    </i>
    <i>
      <x v="11"/>
      <x v="2"/>
    </i>
    <i>
      <x v="12"/>
      <x v="5"/>
    </i>
    <i>
      <x v="13"/>
      <x v="2"/>
    </i>
    <i>
      <x v="14"/>
      <x v="2"/>
    </i>
    <i>
      <x v="16"/>
      <x v="2"/>
    </i>
    <i>
      <x v="17"/>
      <x v="5"/>
    </i>
    <i>
      <x v="18"/>
      <x v="2"/>
    </i>
    <i>
      <x v="19"/>
      <x v="2"/>
    </i>
    <i>
      <x v="20"/>
      <x v="4"/>
    </i>
    <i>
      <x v="21"/>
      <x v="2"/>
    </i>
    <i>
      <x v="22"/>
      <x v="2"/>
    </i>
    <i r="1">
      <x v="5"/>
    </i>
    <i>
      <x v="23"/>
      <x v="5"/>
    </i>
    <i>
      <x v="24"/>
      <x v="2"/>
    </i>
    <i>
      <x v="25"/>
      <x v="2"/>
    </i>
    <i r="1">
      <x v="5"/>
    </i>
    <i>
      <x v="26"/>
      <x v="4"/>
    </i>
    <i>
      <x v="27"/>
      <x v="4"/>
    </i>
    <i>
      <x v="28"/>
      <x v="2"/>
    </i>
    <i>
      <x v="29"/>
      <x v="4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2"/>
    </i>
    <i r="1">
      <x v="5"/>
    </i>
    <i>
      <x v="38"/>
      <x v="1"/>
    </i>
    <i r="1">
      <x v="2"/>
    </i>
    <i r="1">
      <x v="5"/>
    </i>
    <i>
      <x v="39"/>
      <x v="2"/>
    </i>
    <i>
      <x v="40"/>
      <x v="2"/>
    </i>
    <i r="1">
      <x v="5"/>
    </i>
    <i>
      <x v="42"/>
      <x v="2"/>
    </i>
    <i>
      <x v="43"/>
      <x v="2"/>
    </i>
    <i>
      <x v="44"/>
      <x v="2"/>
    </i>
    <i>
      <x v="45"/>
      <x v="2"/>
    </i>
    <i>
      <x v="46"/>
      <x v="4"/>
    </i>
    <i>
      <x v="47"/>
      <x v="1"/>
    </i>
    <i>
      <x v="48"/>
      <x v="4"/>
    </i>
    <i>
      <x v="49"/>
      <x v="2"/>
    </i>
    <i r="1">
      <x v="5"/>
    </i>
    <i>
      <x v="50"/>
      <x v="2"/>
    </i>
    <i>
      <x v="51"/>
      <x v="5"/>
    </i>
    <i>
      <x v="52"/>
      <x/>
    </i>
    <i r="1">
      <x v="5"/>
    </i>
    <i>
      <x v="53"/>
      <x v="5"/>
    </i>
    <i t="grand">
      <x/>
    </i>
  </rowItems>
  <colItems count="1">
    <i/>
  </colItems>
  <formats count="33">
    <format dxfId="114">
      <pivotArea outline="0" collapsedLevelsAreSubtotals="1" fieldPosition="0"/>
    </format>
    <format dxfId="113">
      <pivotArea type="topRight" dataOnly="0" labelOnly="1" outline="0" fieldPosition="0"/>
    </format>
    <format dxfId="112">
      <pivotArea outline="0" collapsedLevelsAreSubtotals="1" fieldPosition="0"/>
    </format>
    <format dxfId="111">
      <pivotArea type="topRight" dataOnly="0" labelOnly="1" outline="0" fieldPosition="0"/>
    </format>
    <format dxfId="110">
      <pivotArea type="origin" dataOnly="0" labelOnly="1" outline="0" fieldPosition="0"/>
    </format>
    <format dxfId="109">
      <pivotArea field="0" type="button" dataOnly="0" labelOnly="1" outline="0"/>
    </format>
    <format dxfId="108">
      <pivotArea field="1" type="button" dataOnly="0" labelOnly="1" outline="0"/>
    </format>
    <format dxfId="107">
      <pivotArea dataOnly="0" labelOnly="1" grandRow="1" outline="0" fieldPosition="0"/>
    </format>
    <format dxfId="106">
      <pivotArea dataOnly="0" labelOnly="1" grandRow="1" outline="0" fieldPosition="0"/>
    </format>
    <format dxfId="105">
      <pivotArea dataOnly="0" labelOnly="1" grandRow="1" outline="0" fieldPosition="0"/>
    </format>
    <format dxfId="104">
      <pivotArea dataOnly="0" labelOnly="1" grandRow="1" outline="0" fieldPosition="0"/>
    </format>
    <format dxfId="103">
      <pivotArea type="origin" dataOnly="0" labelOnly="1" outline="0" fieldPosition="0"/>
    </format>
    <format dxfId="102">
      <pivotArea type="topRight" dataOnly="0" labelOnly="1" outline="0" offset="A1:B1" fieldPosition="0"/>
    </format>
    <format dxfId="101">
      <pivotArea field="0" type="button" dataOnly="0" labelOnly="1" outline="0"/>
    </format>
    <format dxfId="100">
      <pivotArea field="1" type="button" dataOnly="0" labelOnly="1" outline="0"/>
    </format>
    <format dxfId="99">
      <pivotArea type="origin" dataOnly="0" labelOnly="1" outline="0" fieldPosition="0"/>
    </format>
    <format dxfId="98">
      <pivotArea type="topRight" dataOnly="0" labelOnly="1" outline="0" fieldPosition="0"/>
    </format>
    <format dxfId="97">
      <pivotArea field="0" type="button" dataOnly="0" labelOnly="1" outline="0"/>
    </format>
    <format dxfId="96">
      <pivotArea field="1" type="button" dataOnly="0" labelOnly="1" outline="0"/>
    </format>
    <format dxfId="95">
      <pivotArea type="origin" dataOnly="0" labelOnly="1" outline="0" fieldPosition="0"/>
    </format>
    <format dxfId="94">
      <pivotArea type="topRight" dataOnly="0" labelOnly="1" outline="0" offset="A1:B1" fieldPosition="0"/>
    </format>
    <format dxfId="93">
      <pivotArea field="0" type="button" dataOnly="0" labelOnly="1" outline="0"/>
    </format>
    <format dxfId="92">
      <pivotArea field="1" type="button" dataOnly="0" labelOnly="1" outline="0"/>
    </format>
    <format dxfId="91">
      <pivotArea field="0" type="button" dataOnly="0" labelOnly="1" outline="0"/>
    </format>
    <format dxfId="90">
      <pivotArea field="1" type="button" dataOnly="0" labelOnly="1" outline="0"/>
    </format>
    <format dxfId="89">
      <pivotArea field="0" type="button" dataOnly="0" labelOnly="1" outline="0"/>
    </format>
    <format dxfId="88">
      <pivotArea field="1" type="button" dataOnly="0" labelOnly="1" outline="0"/>
    </format>
    <format dxfId="87">
      <pivotArea field="0" type="button" dataOnly="0" labelOnly="1" outline="0"/>
    </format>
    <format dxfId="86">
      <pivotArea field="1" type="button" dataOnly="0" labelOnly="1" outline="0"/>
    </format>
    <format dxfId="85">
      <pivotArea dataOnly="0" labelOnly="1" grandCol="1" outline="0" fieldPosition="0"/>
    </format>
    <format dxfId="84">
      <pivotArea dataOnly="0" labelOnly="1" grandCol="1" outline="0" fieldPosition="0"/>
    </format>
    <format dxfId="83">
      <pivotArea dataOnly="0" labelOnly="1" grandCol="1" outline="0" fieldPosition="0"/>
    </format>
    <format dxfId="82">
      <pivotArea dataOnly="0" labelOnly="1" grandCol="1" outline="0" fieldPosition="0"/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E987C-6614-439A-B22A-BD1671F3CC98}" name="TablaDinámica2" cacheId="1" applyNumberFormats="0" applyBorderFormats="0" applyFontFormats="0" applyPatternFormats="0" applyAlignmentFormats="0" applyWidthHeightFormats="1" dataCaption="Valores" updatedVersion="6" minRefreshableVersion="3" itemPrintTitles="1" createdVersion="6" indent="0" compact="0" compactData="0" multipleFieldFilters="0">
  <location ref="A3:B65" firstHeaderRow="1" firstDataRow="1" firstDataCol="2"/>
  <pivotFields count="15">
    <pivotField compact="0" outline="0" showAll="0" defaultSubtotal="0">
      <items count="9">
        <item x="5"/>
        <item x="4"/>
        <item x="8"/>
        <item x="0"/>
        <item x="6"/>
        <item x="7"/>
        <item x="3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4"/>
        <item x="2"/>
        <item x="0"/>
        <item m="1" x="5"/>
        <item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x="3"/>
        <item x="36"/>
        <item x="32"/>
        <item x="12"/>
        <item x="2"/>
        <item x="7"/>
        <item m="1" x="52"/>
        <item x="15"/>
        <item x="21"/>
        <item x="4"/>
        <item x="28"/>
        <item x="5"/>
        <item x="46"/>
        <item x="37"/>
        <item x="14"/>
        <item m="1" x="51"/>
        <item x="27"/>
        <item x="11"/>
        <item x="16"/>
        <item x="43"/>
        <item x="50"/>
        <item x="34"/>
        <item x="22"/>
        <item x="41"/>
        <item x="20"/>
        <item x="42"/>
        <item x="45"/>
        <item x="38"/>
        <item x="33"/>
        <item x="40"/>
        <item x="48"/>
        <item x="26"/>
        <item x="31"/>
        <item x="25"/>
        <item x="19"/>
        <item x="6"/>
        <item x="13"/>
        <item x="10"/>
        <item x="9"/>
        <item x="18"/>
        <item x="0"/>
        <item m="1" x="53"/>
        <item x="1"/>
        <item x="17"/>
        <item x="39"/>
        <item x="24"/>
        <item x="47"/>
        <item x="44"/>
        <item x="8"/>
        <item x="29"/>
        <item x="49"/>
        <item x="30"/>
        <item x="35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62">
    <i>
      <x/>
      <x/>
    </i>
    <i r="1">
      <x v="5"/>
    </i>
    <i>
      <x v="1"/>
      <x v="2"/>
    </i>
    <i>
      <x v="2"/>
      <x v="2"/>
    </i>
    <i>
      <x v="3"/>
      <x v="5"/>
    </i>
    <i>
      <x v="4"/>
      <x v="5"/>
    </i>
    <i>
      <x v="5"/>
      <x v="1"/>
    </i>
    <i>
      <x v="7"/>
      <x v="2"/>
    </i>
    <i r="1">
      <x v="5"/>
    </i>
    <i>
      <x v="8"/>
      <x v="5"/>
    </i>
    <i>
      <x v="9"/>
      <x v="5"/>
    </i>
    <i>
      <x v="10"/>
      <x v="5"/>
    </i>
    <i>
      <x v="11"/>
      <x v="2"/>
    </i>
    <i>
      <x v="12"/>
      <x v="5"/>
    </i>
    <i>
      <x v="13"/>
      <x v="2"/>
    </i>
    <i>
      <x v="14"/>
      <x v="2"/>
    </i>
    <i>
      <x v="16"/>
      <x v="2"/>
    </i>
    <i>
      <x v="17"/>
      <x v="5"/>
    </i>
    <i>
      <x v="18"/>
      <x v="2"/>
    </i>
    <i>
      <x v="19"/>
      <x v="2"/>
    </i>
    <i>
      <x v="20"/>
      <x v="4"/>
    </i>
    <i>
      <x v="21"/>
      <x v="2"/>
    </i>
    <i>
      <x v="22"/>
      <x v="2"/>
    </i>
    <i r="1">
      <x v="5"/>
    </i>
    <i>
      <x v="23"/>
      <x v="5"/>
    </i>
    <i>
      <x v="24"/>
      <x v="2"/>
    </i>
    <i>
      <x v="25"/>
      <x v="2"/>
    </i>
    <i r="1">
      <x v="5"/>
    </i>
    <i>
      <x v="26"/>
      <x v="4"/>
    </i>
    <i>
      <x v="27"/>
      <x v="4"/>
    </i>
    <i>
      <x v="28"/>
      <x v="2"/>
    </i>
    <i>
      <x v="29"/>
      <x v="4"/>
    </i>
    <i>
      <x v="30"/>
      <x v="5"/>
    </i>
    <i>
      <x v="31"/>
      <x v="5"/>
    </i>
    <i>
      <x v="32"/>
      <x v="5"/>
    </i>
    <i>
      <x v="33"/>
      <x v="5"/>
    </i>
    <i>
      <x v="34"/>
      <x v="5"/>
    </i>
    <i>
      <x v="35"/>
      <x v="5"/>
    </i>
    <i>
      <x v="36"/>
      <x v="5"/>
    </i>
    <i>
      <x v="37"/>
      <x v="2"/>
    </i>
    <i r="1">
      <x v="5"/>
    </i>
    <i>
      <x v="38"/>
      <x v="1"/>
    </i>
    <i r="1">
      <x v="2"/>
    </i>
    <i r="1">
      <x v="5"/>
    </i>
    <i>
      <x v="39"/>
      <x v="2"/>
    </i>
    <i>
      <x v="40"/>
      <x v="2"/>
    </i>
    <i r="1">
      <x v="5"/>
    </i>
    <i>
      <x v="42"/>
      <x v="2"/>
    </i>
    <i>
      <x v="43"/>
      <x v="2"/>
    </i>
    <i>
      <x v="44"/>
      <x v="2"/>
    </i>
    <i>
      <x v="45"/>
      <x v="2"/>
    </i>
    <i>
      <x v="46"/>
      <x v="4"/>
    </i>
    <i>
      <x v="47"/>
      <x v="1"/>
    </i>
    <i>
      <x v="48"/>
      <x v="4"/>
    </i>
    <i>
      <x v="49"/>
      <x v="2"/>
    </i>
    <i r="1">
      <x v="5"/>
    </i>
    <i>
      <x v="50"/>
      <x v="2"/>
    </i>
    <i>
      <x v="51"/>
      <x v="5"/>
    </i>
    <i>
      <x v="52"/>
      <x/>
    </i>
    <i r="1">
      <x v="5"/>
    </i>
    <i>
      <x v="53"/>
      <x v="5"/>
    </i>
    <i t="grand">
      <x/>
    </i>
  </rowItems>
  <colItems count="1">
    <i/>
  </colItems>
  <formats count="33">
    <format dxfId="81">
      <pivotArea outline="0" collapsedLevelsAreSubtotals="1" fieldPosition="0"/>
    </format>
    <format dxfId="80">
      <pivotArea type="topRight" dataOnly="0" labelOnly="1" outline="0" fieldPosition="0"/>
    </format>
    <format dxfId="79">
      <pivotArea outline="0" collapsedLevelsAreSubtotals="1" fieldPosition="0"/>
    </format>
    <format dxfId="78">
      <pivotArea type="topRight" dataOnly="0" labelOnly="1" outline="0" fieldPosition="0"/>
    </format>
    <format dxfId="77">
      <pivotArea type="origin" dataOnly="0" labelOnly="1" outline="0" fieldPosition="0"/>
    </format>
    <format dxfId="76">
      <pivotArea field="0" type="button" dataOnly="0" labelOnly="1" outline="0"/>
    </format>
    <format dxfId="75">
      <pivotArea field="1" type="button" dataOnly="0" labelOnly="1" outline="0"/>
    </format>
    <format dxfId="74">
      <pivotArea dataOnly="0" labelOnly="1" grandRow="1" outline="0" fieldPosition="0"/>
    </format>
    <format dxfId="73">
      <pivotArea dataOnly="0" labelOnly="1" grandRow="1" outline="0" fieldPosition="0"/>
    </format>
    <format dxfId="72">
      <pivotArea dataOnly="0" labelOnly="1" grandRow="1" outline="0" fieldPosition="0"/>
    </format>
    <format dxfId="71">
      <pivotArea dataOnly="0" labelOnly="1" grandRow="1" outline="0" fieldPosition="0"/>
    </format>
    <format dxfId="70">
      <pivotArea type="origin" dataOnly="0" labelOnly="1" outline="0" fieldPosition="0"/>
    </format>
    <format dxfId="69">
      <pivotArea type="topRight" dataOnly="0" labelOnly="1" outline="0" offset="A1:B1" fieldPosition="0"/>
    </format>
    <format dxfId="68">
      <pivotArea field="0" type="button" dataOnly="0" labelOnly="1" outline="0"/>
    </format>
    <format dxfId="67">
      <pivotArea field="1" type="button" dataOnly="0" labelOnly="1" outline="0"/>
    </format>
    <format dxfId="66">
      <pivotArea type="origin" dataOnly="0" labelOnly="1" outline="0" fieldPosition="0"/>
    </format>
    <format dxfId="65">
      <pivotArea type="topRight" dataOnly="0" labelOnly="1" outline="0" fieldPosition="0"/>
    </format>
    <format dxfId="64">
      <pivotArea field="0" type="button" dataOnly="0" labelOnly="1" outline="0"/>
    </format>
    <format dxfId="63">
      <pivotArea field="1" type="button" dataOnly="0" labelOnly="1" outline="0"/>
    </format>
    <format dxfId="62">
      <pivotArea type="origin" dataOnly="0" labelOnly="1" outline="0" fieldPosition="0"/>
    </format>
    <format dxfId="61">
      <pivotArea type="topRight" dataOnly="0" labelOnly="1" outline="0" offset="A1:B1" fieldPosition="0"/>
    </format>
    <format dxfId="60">
      <pivotArea field="0" type="button" dataOnly="0" labelOnly="1" outline="0"/>
    </format>
    <format dxfId="59">
      <pivotArea field="1" type="button" dataOnly="0" labelOnly="1" outline="0"/>
    </format>
    <format dxfId="58">
      <pivotArea field="0" type="button" dataOnly="0" labelOnly="1" outline="0"/>
    </format>
    <format dxfId="57">
      <pivotArea field="1" type="button" dataOnly="0" labelOnly="1" outline="0"/>
    </format>
    <format dxfId="56">
      <pivotArea field="0" type="button" dataOnly="0" labelOnly="1" outline="0"/>
    </format>
    <format dxfId="55">
      <pivotArea field="1" type="button" dataOnly="0" labelOnly="1" outline="0"/>
    </format>
    <format dxfId="54">
      <pivotArea field="0" type="button" dataOnly="0" labelOnly="1" outline="0"/>
    </format>
    <format dxfId="53">
      <pivotArea field="1" type="button" dataOnly="0" labelOnly="1" outline="0"/>
    </format>
    <format dxfId="52">
      <pivotArea dataOnly="0" labelOnly="1" grandCol="1" outline="0" fieldPosition="0"/>
    </format>
    <format dxfId="51">
      <pivotArea dataOnly="0" labelOnly="1" grandCol="1" outline="0" fieldPosition="0"/>
    </format>
    <format dxfId="50">
      <pivotArea dataOnly="0" labelOnly="1" grandCol="1" outline="0" fieldPosition="0"/>
    </format>
    <format dxfId="49">
      <pivotArea dataOnly="0" labelOnly="1" grandCol="1" outline="0" fieldPosition="0"/>
    </format>
  </formats>
  <pivotTableStyleInfo name="PivotStyleLight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ECC" xr10:uid="{3C637B83-0808-4547-AA46-F3210D08DE7B}" sourceName="EECC">
  <pivotTables>
    <pivotTable tabId="3" name="TablaDinámica1"/>
    <pivotTable tabId="3" name="TablaDinámica2"/>
    <pivotTable tabId="5" name="TablaDinámica2"/>
    <pivotTable tabId="6" name="TablaDinámica2"/>
    <pivotTable tabId="7" name="TablaDinámica2"/>
  </pivotTables>
  <data>
    <tabular pivotCacheId="1087478780">
      <items count="9">
        <i x="5" s="1"/>
        <i x="4" s="1"/>
        <i x="8" s="1"/>
        <i x="0" s="1"/>
        <i x="6" s="1"/>
        <i x="7" s="1"/>
        <i x="3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2E3E8E4-16DB-40C5-B9B5-4E61B139F7E7}" sourceName="DEPARTAMENTO">
  <pivotTables>
    <pivotTable tabId="3" name="TablaDinámica1"/>
    <pivotTable tabId="3" name="TablaDinámica2"/>
    <pivotTable tabId="5" name="TablaDinámica2"/>
    <pivotTable tabId="6" name="TablaDinámica2"/>
    <pivotTable tabId="7" name="TablaDinámica2"/>
  </pivotTables>
  <data>
    <tabular pivotCacheId="1087478780">
      <items count="3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NCIONALIDAD" xr10:uid="{FBCEC924-F380-44C6-ACA7-615C28F55F52}" sourceName="FUNCIONALIDAD">
  <pivotTables>
    <pivotTable tabId="3" name="TablaDinámica1"/>
    <pivotTable tabId="3" name="TablaDinámica2"/>
    <pivotTable tabId="5" name="TablaDinámica2"/>
    <pivotTable tabId="6" name="TablaDinámica2"/>
    <pivotTable tabId="7" name="TablaDinámica2"/>
  </pivotTables>
  <data>
    <tabular pivotCacheId="1087478780">
      <items count="6">
        <i x="4" s="1"/>
        <i x="2" s="1"/>
        <i x="0" s="1"/>
        <i x="3" s="1"/>
        <i x="1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ECC" xr10:uid="{19E96A86-4EFF-473A-A3BA-F39885DEC280}" cache="SegmentaciónDeDatos_EECC" caption="EECC" columnCount="2" style="SlicerStyleLight6" rowHeight="241300"/>
  <slicer name="DEPARTAMENTO" xr10:uid="{86002077-A1F9-43E1-9AF6-9EE9B294FC8B}" cache="SegmentaciónDeDatos_DEPARTAMENTO" caption="DEPARTAMENTO" columnCount="2" style="SlicerStyleLight6" rowHeight="241300"/>
  <slicer name="FUNCIONALIDAD" xr10:uid="{4E2445EE-8D32-439C-8912-D992D8CB5FE6}" cache="SegmentaciónDeDatos_FUNCIONALIDAD" caption="FUNCIONALIDAD" columnCount="2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566F2-F6E6-4579-801A-4B4E77AD1FC9}" name="Tabla22" displayName="Tabla22" ref="A1:R318" totalsRowShown="0" headerRowDxfId="159" headerRowBorderDxfId="158" tableBorderDxfId="157">
  <autoFilter ref="A1:R318" xr:uid="{DC9B7E87-2431-4F13-B5E9-1CA9368D49CA}"/>
  <tableColumns count="18">
    <tableColumn id="1" xr3:uid="{6AC4DF1E-3969-4793-9041-88AC788D3D5A}" name="EECC"/>
    <tableColumn id="2" xr3:uid="{570A6B7D-FA2D-452A-8F7A-8AA6AB0196BD}" name="DEPARTAMENTO"/>
    <tableColumn id="3" xr3:uid="{4AB4E955-9DA4-49FB-98DE-C1AA4E39A51D}" name="FUNCIONALIDAD"/>
    <tableColumn id="4" xr3:uid="{7B323552-B5D1-4586-9CE3-4D7AFAE971D3}" name="MARCA" dataDxfId="156"/>
    <tableColumn id="5" xr3:uid="{D83DF9AC-3B44-4E29-8BB6-B00372D70CFF}" name="SERIAL DEL EQUIPO" dataDxfId="155"/>
    <tableColumn id="18" xr3:uid="{1EC09676-7216-492A-B88A-E417255CB811}" name="FECHA CALIBRACIÓN" dataDxfId="48">
      <calculatedColumnFormula>G2-365</calculatedColumnFormula>
    </tableColumn>
    <tableColumn id="6" xr3:uid="{AA610170-13C1-4796-AA8E-C7BA85491DA4}" name="FECHA VENCIMIENTO CERTIFICADO CALIBRACIÓN (D/M/A)"/>
    <tableColumn id="7" xr3:uid="{ED2F0420-2407-4CC2-BED6-836A269757C7}" name="PRESENTA CERTIFICADO DE CALIBRACION" dataDxfId="154"/>
    <tableColumn id="8" xr3:uid="{9584C10F-1140-4FA4-8D83-92C67920B78A}" name="ACTIVIDAD"/>
    <tableColumn id="9" xr3:uid="{B967553E-14C9-48FA-A1FF-3F15254407B1}" name="MOTIVO ACTIVIDAD"/>
    <tableColumn id="10" xr3:uid="{3C20BFA7-10C4-495F-BB48-D4876E66E763}" name="FECHA DE REGISTRO DE NOVEDAD EN OPERACIÓN" dataDxfId="153"/>
    <tableColumn id="11" xr3:uid="{3F1DB7D1-7AAC-46E3-9321-7445D6BAD4BF}" name="OBSEVACIÓN REGISTRO " dataDxfId="152"/>
    <tableColumn id="12" xr3:uid="{C6BEC9E5-5645-48B7-8158-3FBC2A60C06F}" name="FECHA ACTUAL" dataDxfId="151">
      <calculatedColumnFormula>TODAY()</calculatedColumnFormula>
    </tableColumn>
    <tableColumn id="13" xr3:uid="{A6D8B2C0-70D5-48A4-9E11-700BA21D056A}" name="CERTIFICADO DE CALIBRACIÓN VENCIDO?" dataDxfId="150">
      <calculatedColumnFormula>IF(P2="DESCALIBRADO","SI",IF(P2="CALIBRADO","NO",IF(P2="POR CALIBRAR","NO "," ")))</calculatedColumnFormula>
    </tableColumn>
    <tableColumn id="14" xr3:uid="{880FDAF9-AA7B-44D3-967A-8FE153F7E8C7}" name="." dataDxfId="149">
      <calculatedColumnFormula>+G2-M2</calculatedColumnFormula>
    </tableColumn>
    <tableColumn id="15" xr3:uid="{9C4170FA-FDD7-458C-848D-4E953C56CBC0}" name="ESTADO" dataDxfId="148">
      <calculatedColumnFormula>IF(G2="","",IF(G2-M2&gt;15,"CALIBRADO",IF(AND(G2-M2&lt;=15,G2-M2&gt;=0),"POR CALIBRAR","DESCALIBRADO")))</calculatedColumnFormula>
    </tableColumn>
    <tableColumn id="16" xr3:uid="{47A193BA-950E-495C-B0CD-2988B3653F7C}" name="RUTA"/>
    <tableColumn id="17" xr3:uid="{97E3CEBC-7722-4FBB-BBBA-E0839A16D5C1}" name="Observación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21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DYNATEL%2005310078" TargetMode="External"/><Relationship Id="rId6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JD42591CA" TargetMode="External"/><Relationship Id="rId8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04800ETW" TargetMode="External"/><Relationship Id="rId13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3689" TargetMode="External"/><Relationship Id="rId15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887" TargetMode="External"/><Relationship Id="rId17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OTDR%5F18159152" TargetMode="External"/><Relationship Id="rId10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Dynatel%5F9952000HW" TargetMode="External"/><Relationship Id="rId3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03326" TargetMode="External"/><Relationship Id="rId5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6200667639%20OTDR" TargetMode="External"/><Relationship Id="rId7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2511837" TargetMode="External"/><Relationship Id="rId12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17010437" TargetMode="External"/><Relationship Id="rId14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190323" TargetMode="External"/><Relationship Id="rId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Dynatel%5F993300Y8" TargetMode="External"/><Relationship Id="rId9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6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789568" TargetMode="External"/><Relationship Id="rId22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9951042F" TargetMode="External"/><Relationship Id="rId6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Arauca%2FCALIBRACION%20ARAUCA" TargetMode="External"/><Relationship Id="rId11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6322" TargetMode="External"/><Relationship Id="rId8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531007C" TargetMode="External"/><Relationship Id="rId15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3091013109135" TargetMode="External"/><Relationship Id="rId17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0403CTW" TargetMode="External"/><Relationship Id="rId1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Megger%5FF077067BA" TargetMode="External"/><Relationship Id="rId3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6C00007917%2D6C00005513" TargetMode="External"/><Relationship Id="rId10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2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6200941848" TargetMode="External"/><Relationship Id="rId5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984200FY" TargetMode="External"/><Relationship Id="rId7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AA431810012357" TargetMode="External"/><Relationship Id="rId9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4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356" TargetMode="External"/><Relationship Id="rId16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808179" TargetMode="External"/><Relationship Id="rId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Dynatel%5F994600B4" TargetMode="External"/><Relationship Id="rId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31804010335" TargetMode="External"/><Relationship Id="rId23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28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TargetMode="External"/><Relationship Id="rId4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AA431810012331" TargetMode="External"/><Relationship Id="rId11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1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4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%2D%208A350A2618084446%5FCERTIFICADO" TargetMode="External"/><Relationship Id="rId6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6G1804" TargetMode="External"/><Relationship Id="rId6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531007D" TargetMode="External"/><Relationship Id="rId8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6" TargetMode="External"/><Relationship Id="rId8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05411" TargetMode="External"/><Relationship Id="rId13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Analizador%20de%20bucle%20004800YCW" TargetMode="External"/><Relationship Id="rId13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349001Z" TargetMode="External"/><Relationship Id="rId15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8A35082618090008%2FFUSIONADORA%20DE%20FIBRA%20SERIAL%203074" TargetMode="External"/><Relationship Id="rId15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594318" TargetMode="External"/><Relationship Id="rId17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1059" TargetMode="External"/><Relationship Id="rId13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DE%20MEDICION%20COBRA%20VALLE%20PACIFICO%2Erar&amp;parent=%2Fsites%2FCALIBRACIONDEEQUIPOS%2ETMHNH%2FShared%20Documents%2FGeneral%2FAuditorias%20Calibracion%20Equipos%202021%2FAuditoria%201Q%2FFernando%20Lozada%20Tambo%2FValle%20del%20Cauca" TargetMode="External"/><Relationship Id="rId18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3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8159151" TargetMode="External"/><Relationship Id="rId10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3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71905019" TargetMode="External"/><Relationship Id="rId5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16159070" TargetMode="External"/><Relationship Id="rId5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V03820091058" TargetMode="External"/><Relationship Id="rId7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ESFHAO22915" TargetMode="External"/><Relationship Id="rId9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0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DYNATEL%20992200DP" TargetMode="External"/><Relationship Id="rId12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81303" TargetMode="External"/><Relationship Id="rId14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1100MC" TargetMode="External"/><Relationship Id="rId14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08H181128563" TargetMode="External"/><Relationship Id="rId16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2010131" TargetMode="External"/><Relationship Id="rId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61612020091" TargetMode="External"/><Relationship Id="rId7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0638004W" TargetMode="External"/><Relationship Id="rId9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6200990102" TargetMode="External"/><Relationship Id="rId16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052041Z" TargetMode="External"/><Relationship Id="rId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Fusionadora%5FAA431804010317" TargetMode="External"/><Relationship Id="rId29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TargetMode="External"/><Relationship Id="rId24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QE331986840" TargetMode="External"/><Relationship Id="rId4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207H180725570" TargetMode="External"/><Relationship Id="rId6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0024007LW" TargetMode="External"/><Relationship Id="rId8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H1858350091" TargetMode="External"/><Relationship Id="rId11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1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Dynatel%20025000BBW" TargetMode="External"/><Relationship Id="rId13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8010336" TargetMode="External"/><Relationship Id="rId15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190" TargetMode="External"/><Relationship Id="rId6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2G13SQ1151" TargetMode="External"/><Relationship Id="rId8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ANALIZADOR%20DE%20E1%202511546" TargetMode="External"/><Relationship Id="rId15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20509" TargetMode="External"/><Relationship Id="rId17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993300Y2" TargetMode="External"/><Relationship Id="rId19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14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NORTE%20MARZO%202021%2Erar&amp;parent=%2Fsites%2FCALIBRACIONDEEQUIPOS%2ETMHNH%2FShared%20Documents%2FGeneral%2FAuditorias%20Calibracion%20Equipos%202021%2FAuditoria%201Q%2FFernando%20Lozada%20Tambo%2FValle%20del%20Cauca" TargetMode="External"/><Relationship Id="rId30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TargetMode="External"/><Relationship Id="rId3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524491" TargetMode="External"/><Relationship Id="rId5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2901P9" TargetMode="External"/><Relationship Id="rId7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V03E19079575" TargetMode="External"/><Relationship Id="rId10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0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OTDR%206200822296" TargetMode="External"/><Relationship Id="rId14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9114117" TargetMode="External"/><Relationship Id="rId16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7011013" TargetMode="External"/><Relationship Id="rId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Megger%5FD736152" TargetMode="External"/><Relationship Id="rId5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AA431804010336" TargetMode="External"/><Relationship Id="rId7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130259" TargetMode="External"/><Relationship Id="rId9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00248" TargetMode="External"/><Relationship Id="rId9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B200117039" TargetMode="External"/><Relationship Id="rId14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2300HP" TargetMode="External"/><Relationship Id="rId16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2460039" TargetMode="External"/><Relationship Id="rId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Megger%5FU395993GC" TargetMode="External"/><Relationship Id="rId25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06716" TargetMode="External"/><Relationship Id="rId6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17889" TargetMode="External"/><Relationship Id="rId11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9011118" TargetMode="External"/><Relationship Id="rId15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200" TargetMode="External"/><Relationship Id="rId20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ESFHA01973" TargetMode="External"/><Relationship Id="rId6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440053" TargetMode="External"/><Relationship Id="rId8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000YYV43577" TargetMode="External"/><Relationship Id="rId8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AA431810012069" TargetMode="External"/><Relationship Id="rId11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Empalmadora%20fusionadora%2012601019403" TargetMode="External"/><Relationship Id="rId15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606165" TargetMode="External"/><Relationship Id="rId174" Type="http://schemas.openxmlformats.org/officeDocument/2006/relationships/printerSettings" Target="../printerSettings/printerSettings4.bin"/><Relationship Id="rId15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NORTE%20MARZO%202021%2Erar&amp;parent=%2Fsites%2FCALIBRACIONDEEQUIPOS%2ETMHNH%2FShared%20Documents%2FGeneral%2FAuditorias%20Calibracion%20Equipos%202021%2FAuditoria%201Q%2FFernando%20Lozada%20Tambo%2FValle%20del%20Cauca" TargetMode="External"/><Relationship Id="rId3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725641" TargetMode="External"/><Relationship Id="rId5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3102JA" TargetMode="External"/><Relationship Id="rId10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2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012603HSW" TargetMode="External"/><Relationship Id="rId1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8159159" TargetMode="External"/><Relationship Id="rId31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DE%20MEDICION%20COBRA%20VALLE%20PACIFICO%2Erar&amp;parent=%2Fsites%2FCALIBRACIONDEEQUIPOS%2ETMHNH%2FShared%20Documents%2FGeneral%2FAuditorias%20Calibracion%20Equipos%202021%2FAuditoria%201Q%2FFernando%20Lozada%20Tambo%2FValle%20del%20Cauca" TargetMode="External"/><Relationship Id="rId5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0247009Y" TargetMode="External"/><Relationship Id="rId7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7151553" TargetMode="External"/><Relationship Id="rId7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17332059" TargetMode="External"/><Relationship Id="rId9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6159032" TargetMode="External"/><Relationship Id="rId9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0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D20091062" TargetMode="External"/><Relationship Id="rId14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ERT%206200834528" TargetMode="External"/><Relationship Id="rId14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079323" TargetMode="External"/><Relationship Id="rId16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4130053" TargetMode="External"/><Relationship Id="rId16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V03L19115080" TargetMode="External"/><Relationship Id="rId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OTDR%5F16159080" TargetMode="External"/><Relationship Id="rId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6159024" TargetMode="External"/><Relationship Id="rId26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4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OTDR%20%2D%206C00058441" TargetMode="External"/><Relationship Id="rId6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2511551" TargetMode="External"/><Relationship Id="rId8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V03K19092548" TargetMode="External"/><Relationship Id="rId11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OTDR%20425481" TargetMode="External"/><Relationship Id="rId15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26857%20%2030081" TargetMode="External"/><Relationship Id="rId175" Type="http://schemas.openxmlformats.org/officeDocument/2006/relationships/table" Target="../tables/table1.xml"/><Relationship Id="rId16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37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07300064" TargetMode="External"/><Relationship Id="rId5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386" TargetMode="External"/><Relationship Id="rId7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2" TargetMode="External"/><Relationship Id="rId102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88" TargetMode="External"/><Relationship Id="rId14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UCLE%20CU%200521000H" TargetMode="External"/><Relationship Id="rId9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MEGGER%20OE6001B" TargetMode="External"/><Relationship Id="rId16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616003D" TargetMode="External"/><Relationship Id="rId27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TargetMode="External"/><Relationship Id="rId4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16159079" TargetMode="External"/><Relationship Id="rId6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6200755581" TargetMode="External"/><Relationship Id="rId11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TargetMode="External"/><Relationship Id="rId13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047015DW" TargetMode="External"/><Relationship Id="rId8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3" TargetMode="External"/><Relationship Id="rId15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26857%20%2030081" TargetMode="External"/><Relationship Id="rId17" Type="http://schemas.openxmlformats.org/officeDocument/2006/relationships/hyperlink" Target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TargetMode="External"/><Relationship Id="rId38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0622071" TargetMode="External"/><Relationship Id="rId59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911" TargetMode="External"/><Relationship Id="rId103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TargetMode="External"/><Relationship Id="rId124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93" TargetMode="External"/><Relationship Id="rId70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Meta" TargetMode="External"/><Relationship Id="rId91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14117157" TargetMode="External"/><Relationship Id="rId145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FUSIONADORA%20DE%20FO%2036716" TargetMode="External"/><Relationship Id="rId166" Type="http://schemas.openxmlformats.org/officeDocument/2006/relationships/hyperlink" Target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984700F6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C5571-C608-4109-9161-134E46564A60}">
  <sheetPr codeName="Hoja2"/>
  <dimension ref="A1:G36"/>
  <sheetViews>
    <sheetView topLeftCell="A9" workbookViewId="0">
      <selection sqref="A1:G1048576"/>
    </sheetView>
  </sheetViews>
  <sheetFormatPr baseColWidth="10" defaultRowHeight="14.4" x14ac:dyDescent="0.3"/>
  <cols>
    <col min="1" max="1" width="14.109375" bestFit="1" customWidth="1"/>
    <col min="2" max="2" width="23.88671875" customWidth="1"/>
    <col min="3" max="3" width="38.44140625" bestFit="1" customWidth="1"/>
    <col min="4" max="4" width="23.88671875" bestFit="1" customWidth="1"/>
    <col min="5" max="5" width="22.33203125" bestFit="1" customWidth="1"/>
    <col min="6" max="6" width="20.6640625" bestFit="1" customWidth="1"/>
    <col min="7" max="7" width="16.33203125" customWidth="1"/>
  </cols>
  <sheetData>
    <row r="1" spans="1:7" ht="36.75" customHeight="1" thickTop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31</v>
      </c>
      <c r="F1" s="5" t="s">
        <v>8</v>
      </c>
      <c r="G1" s="5" t="s">
        <v>6</v>
      </c>
    </row>
    <row r="2" spans="1:7" ht="15.6" thickTop="1" thickBot="1" x14ac:dyDescent="0.35">
      <c r="A2" s="6" t="s">
        <v>32</v>
      </c>
      <c r="B2" s="6" t="s">
        <v>33</v>
      </c>
      <c r="C2" s="6" t="s">
        <v>27</v>
      </c>
      <c r="D2" s="6" t="s">
        <v>27</v>
      </c>
      <c r="E2" s="6" t="s">
        <v>29</v>
      </c>
      <c r="F2" s="6" t="s">
        <v>34</v>
      </c>
      <c r="G2" s="6" t="s">
        <v>18</v>
      </c>
    </row>
    <row r="3" spans="1:7" ht="15.6" thickTop="1" thickBot="1" x14ac:dyDescent="0.35">
      <c r="A3" s="6" t="s">
        <v>35</v>
      </c>
      <c r="B3" s="6" t="s">
        <v>36</v>
      </c>
      <c r="C3" s="6" t="s">
        <v>98</v>
      </c>
      <c r="D3" s="6" t="s">
        <v>22</v>
      </c>
      <c r="E3" s="6" t="s">
        <v>23</v>
      </c>
      <c r="F3" s="6" t="s">
        <v>24</v>
      </c>
      <c r="G3" s="6" t="s">
        <v>28</v>
      </c>
    </row>
    <row r="4" spans="1:7" ht="15.6" thickTop="1" thickBot="1" x14ac:dyDescent="0.35">
      <c r="A4" s="6" t="s">
        <v>20</v>
      </c>
      <c r="B4" s="6" t="s">
        <v>37</v>
      </c>
      <c r="C4" s="6" t="s">
        <v>82</v>
      </c>
      <c r="D4" s="6" t="s">
        <v>17</v>
      </c>
      <c r="E4" s="6" t="s">
        <v>19</v>
      </c>
      <c r="F4" s="6" t="s">
        <v>30</v>
      </c>
    </row>
    <row r="5" spans="1:7" ht="15.6" thickTop="1" thickBot="1" x14ac:dyDescent="0.35">
      <c r="A5" s="6" t="s">
        <v>38</v>
      </c>
      <c r="B5" s="6" t="s">
        <v>39</v>
      </c>
      <c r="C5" s="6" t="s">
        <v>99</v>
      </c>
      <c r="D5" s="6" t="s">
        <v>41</v>
      </c>
      <c r="F5" s="6" t="s">
        <v>42</v>
      </c>
    </row>
    <row r="6" spans="1:7" ht="15.6" thickTop="1" thickBot="1" x14ac:dyDescent="0.35">
      <c r="A6" s="6" t="s">
        <v>25</v>
      </c>
      <c r="B6" s="6" t="s">
        <v>16</v>
      </c>
      <c r="C6" s="6" t="s">
        <v>149</v>
      </c>
      <c r="D6" s="6" t="s">
        <v>43</v>
      </c>
      <c r="F6" s="6" t="s">
        <v>44</v>
      </c>
    </row>
    <row r="7" spans="1:7" ht="15.6" thickTop="1" thickBot="1" x14ac:dyDescent="0.35">
      <c r="A7" s="6" t="s">
        <v>15</v>
      </c>
      <c r="B7" s="6" t="s">
        <v>26</v>
      </c>
      <c r="C7" s="6" t="s">
        <v>64</v>
      </c>
      <c r="D7" s="6" t="s">
        <v>45</v>
      </c>
      <c r="F7" s="6" t="s">
        <v>46</v>
      </c>
    </row>
    <row r="8" spans="1:7" ht="15.6" thickTop="1" thickBot="1" x14ac:dyDescent="0.35">
      <c r="A8" s="6" t="s">
        <v>47</v>
      </c>
      <c r="B8" s="6" t="s">
        <v>48</v>
      </c>
      <c r="D8" s="6" t="s">
        <v>49</v>
      </c>
    </row>
    <row r="9" spans="1:7" ht="15.6" thickTop="1" thickBot="1" x14ac:dyDescent="0.35">
      <c r="A9" s="6" t="s">
        <v>50</v>
      </c>
      <c r="B9" s="6" t="s">
        <v>21</v>
      </c>
      <c r="D9" s="6" t="s">
        <v>51</v>
      </c>
    </row>
    <row r="10" spans="1:7" ht="15.6" thickTop="1" thickBot="1" x14ac:dyDescent="0.35">
      <c r="A10" s="6" t="s">
        <v>52</v>
      </c>
      <c r="B10" s="6" t="s">
        <v>53</v>
      </c>
      <c r="D10" s="6" t="s">
        <v>40</v>
      </c>
    </row>
    <row r="11" spans="1:7" ht="15.6" thickTop="1" thickBot="1" x14ac:dyDescent="0.35">
      <c r="B11" s="6" t="s">
        <v>54</v>
      </c>
      <c r="D11" s="6" t="s">
        <v>55</v>
      </c>
    </row>
    <row r="12" spans="1:7" ht="15.6" thickTop="1" thickBot="1" x14ac:dyDescent="0.35">
      <c r="B12" s="6" t="s">
        <v>56</v>
      </c>
      <c r="D12" s="6" t="s">
        <v>57</v>
      </c>
    </row>
    <row r="13" spans="1:7" ht="15.6" thickTop="1" thickBot="1" x14ac:dyDescent="0.35">
      <c r="B13" s="6" t="s">
        <v>58</v>
      </c>
      <c r="D13" s="6" t="s">
        <v>59</v>
      </c>
    </row>
    <row r="14" spans="1:7" ht="15.6" thickTop="1" thickBot="1" x14ac:dyDescent="0.35">
      <c r="B14" s="6" t="s">
        <v>21</v>
      </c>
      <c r="D14" s="6" t="s">
        <v>60</v>
      </c>
    </row>
    <row r="15" spans="1:7" ht="15.6" thickTop="1" thickBot="1" x14ac:dyDescent="0.35">
      <c r="B15" s="6" t="s">
        <v>61</v>
      </c>
      <c r="D15" s="6" t="s">
        <v>62</v>
      </c>
    </row>
    <row r="16" spans="1:7" ht="15.6" thickTop="1" thickBot="1" x14ac:dyDescent="0.35">
      <c r="B16" s="6" t="s">
        <v>63</v>
      </c>
      <c r="D16" s="6" t="s">
        <v>64</v>
      </c>
    </row>
    <row r="17" spans="2:4" ht="15.6" thickTop="1" thickBot="1" x14ac:dyDescent="0.35">
      <c r="B17" s="6" t="s">
        <v>65</v>
      </c>
      <c r="D17" s="6" t="s">
        <v>66</v>
      </c>
    </row>
    <row r="18" spans="2:4" ht="15.6" thickTop="1" thickBot="1" x14ac:dyDescent="0.35">
      <c r="B18" s="6" t="s">
        <v>67</v>
      </c>
    </row>
    <row r="19" spans="2:4" ht="15.6" thickTop="1" thickBot="1" x14ac:dyDescent="0.35">
      <c r="B19" s="6" t="s">
        <v>68</v>
      </c>
    </row>
    <row r="20" spans="2:4" ht="15.6" thickTop="1" thickBot="1" x14ac:dyDescent="0.35">
      <c r="B20" s="6" t="s">
        <v>69</v>
      </c>
    </row>
    <row r="21" spans="2:4" ht="15.6" thickTop="1" thickBot="1" x14ac:dyDescent="0.35">
      <c r="B21" s="6" t="s">
        <v>70</v>
      </c>
    </row>
    <row r="22" spans="2:4" ht="15.6" thickTop="1" thickBot="1" x14ac:dyDescent="0.35">
      <c r="B22" s="6" t="s">
        <v>71</v>
      </c>
    </row>
    <row r="23" spans="2:4" ht="15.6" thickTop="1" thickBot="1" x14ac:dyDescent="0.35">
      <c r="B23" s="6" t="s">
        <v>72</v>
      </c>
    </row>
    <row r="24" spans="2:4" ht="15.6" thickTop="1" thickBot="1" x14ac:dyDescent="0.35">
      <c r="B24" s="6" t="s">
        <v>73</v>
      </c>
    </row>
    <row r="25" spans="2:4" ht="15.6" thickTop="1" thickBot="1" x14ac:dyDescent="0.35">
      <c r="B25" s="6" t="s">
        <v>74</v>
      </c>
    </row>
    <row r="26" spans="2:4" ht="15.6" thickTop="1" thickBot="1" x14ac:dyDescent="0.35">
      <c r="B26" s="6" t="s">
        <v>75</v>
      </c>
    </row>
    <row r="27" spans="2:4" ht="15.6" thickTop="1" thickBot="1" x14ac:dyDescent="0.35">
      <c r="B27" s="6" t="s">
        <v>76</v>
      </c>
    </row>
    <row r="28" spans="2:4" ht="15.6" thickTop="1" thickBot="1" x14ac:dyDescent="0.35">
      <c r="B28" s="6" t="s">
        <v>77</v>
      </c>
    </row>
    <row r="29" spans="2:4" ht="15.6" thickTop="1" thickBot="1" x14ac:dyDescent="0.35">
      <c r="B29" s="6" t="s">
        <v>78</v>
      </c>
    </row>
    <row r="30" spans="2:4" ht="15.6" thickTop="1" thickBot="1" x14ac:dyDescent="0.35">
      <c r="B30" s="6" t="s">
        <v>73</v>
      </c>
    </row>
    <row r="31" spans="2:4" ht="15.6" thickTop="1" thickBot="1" x14ac:dyDescent="0.35">
      <c r="B31" s="6" t="s">
        <v>79</v>
      </c>
    </row>
    <row r="32" spans="2:4" ht="15.6" thickTop="1" thickBot="1" x14ac:dyDescent="0.35">
      <c r="B32" s="6" t="s">
        <v>80</v>
      </c>
    </row>
    <row r="33" spans="2:2" ht="15.6" thickTop="1" thickBot="1" x14ac:dyDescent="0.35">
      <c r="B33" s="6" t="s">
        <v>70</v>
      </c>
    </row>
    <row r="34" spans="2:2" ht="15.6" thickTop="1" thickBot="1" x14ac:dyDescent="0.35">
      <c r="B34" s="6" t="s">
        <v>21</v>
      </c>
    </row>
    <row r="35" spans="2:2" ht="15.6" thickTop="1" thickBot="1" x14ac:dyDescent="0.35">
      <c r="B35" s="6" t="s">
        <v>81</v>
      </c>
    </row>
    <row r="36" spans="2:2" ht="15" thickTop="1" x14ac:dyDescent="0.3"/>
  </sheetData>
  <conditionalFormatting sqref="A2:A10">
    <cfRule type="cellIs" dxfId="40" priority="5" operator="equal">
      <formula>$XFC$3</formula>
    </cfRule>
    <cfRule type="cellIs" dxfId="39" priority="6" operator="equal">
      <formula>$XFC$2</formula>
    </cfRule>
  </conditionalFormatting>
  <conditionalFormatting sqref="F2:F7">
    <cfRule type="cellIs" dxfId="38" priority="15" operator="equal">
      <formula>$XFC$3</formula>
    </cfRule>
    <cfRule type="cellIs" dxfId="37" priority="16" operator="equal">
      <formula>$XFC$2</formula>
    </cfRule>
  </conditionalFormatting>
  <conditionalFormatting sqref="E2:E4">
    <cfRule type="cellIs" dxfId="36" priority="13" operator="equal">
      <formula>$XFC$3</formula>
    </cfRule>
    <cfRule type="cellIs" dxfId="35" priority="14" operator="equal">
      <formula>$XFC$2</formula>
    </cfRule>
  </conditionalFormatting>
  <conditionalFormatting sqref="D2:D17">
    <cfRule type="cellIs" dxfId="34" priority="11" operator="equal">
      <formula>$XFC$3</formula>
    </cfRule>
    <cfRule type="cellIs" dxfId="33" priority="12" operator="equal">
      <formula>$XFC$2</formula>
    </cfRule>
  </conditionalFormatting>
  <conditionalFormatting sqref="C2:C6">
    <cfRule type="cellIs" dxfId="32" priority="9" operator="equal">
      <formula>$XFC$3</formula>
    </cfRule>
    <cfRule type="cellIs" dxfId="31" priority="10" operator="equal">
      <formula>$XFC$2</formula>
    </cfRule>
  </conditionalFormatting>
  <conditionalFormatting sqref="B2:B35">
    <cfRule type="cellIs" dxfId="30" priority="7" operator="equal">
      <formula>$XFC$3</formula>
    </cfRule>
    <cfRule type="cellIs" dxfId="29" priority="8" operator="equal">
      <formula>$XFC$2</formula>
    </cfRule>
  </conditionalFormatting>
  <conditionalFormatting sqref="G2:G3">
    <cfRule type="cellIs" dxfId="28" priority="3" operator="equal">
      <formula>$XFC$3</formula>
    </cfRule>
    <cfRule type="cellIs" dxfId="27" priority="4" operator="equal">
      <formula>$XFC$2</formula>
    </cfRule>
  </conditionalFormatting>
  <conditionalFormatting sqref="C7">
    <cfRule type="cellIs" dxfId="26" priority="1" operator="equal">
      <formula>$XFC$3</formula>
    </cfRule>
    <cfRule type="cellIs" dxfId="25" priority="2" operator="equal">
      <formula>$XFC$2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D944-1827-466C-9676-4A7A42863E49}">
  <sheetPr>
    <tabColor theme="1" tint="0.499984740745262"/>
  </sheetPr>
  <dimension ref="A1:Z61"/>
  <sheetViews>
    <sheetView showGridLines="0" zoomScale="85" zoomScaleNormal="85" workbookViewId="0">
      <selection activeCell="A9" sqref="A9"/>
    </sheetView>
  </sheetViews>
  <sheetFormatPr baseColWidth="10" defaultRowHeight="14.4" x14ac:dyDescent="0.3"/>
  <cols>
    <col min="1" max="1" width="16.5546875" style="3" customWidth="1"/>
    <col min="2" max="2" width="18.109375" style="3" customWidth="1"/>
    <col min="3" max="5" width="11.6640625" style="2" customWidth="1"/>
    <col min="6" max="6" width="7.6640625" style="2" bestFit="1" customWidth="1"/>
    <col min="7" max="7" width="4.109375" customWidth="1"/>
    <col min="8" max="9" width="16.5546875" style="3" customWidth="1"/>
    <col min="10" max="12" width="11.6640625" style="2" customWidth="1"/>
    <col min="13" max="13" width="10.33203125" style="2" hidden="1" customWidth="1"/>
    <col min="14" max="14" width="3.88671875" customWidth="1"/>
    <col min="15" max="18" width="13.33203125" customWidth="1"/>
    <col min="19" max="19" width="16.6640625" bestFit="1" customWidth="1"/>
  </cols>
  <sheetData>
    <row r="1" spans="1:26" x14ac:dyDescent="0.3">
      <c r="U1" s="70"/>
      <c r="V1" s="70"/>
      <c r="W1" s="70"/>
      <c r="X1" s="70"/>
    </row>
    <row r="2" spans="1:26" x14ac:dyDescent="0.3">
      <c r="O2" s="115" t="s">
        <v>320</v>
      </c>
      <c r="P2" s="116"/>
      <c r="Q2" s="116"/>
      <c r="R2" s="116"/>
      <c r="S2" s="117"/>
      <c r="T2" s="32"/>
      <c r="U2" s="70"/>
      <c r="V2" s="70"/>
      <c r="W2" s="70"/>
      <c r="X2" s="70"/>
      <c r="Y2" s="32"/>
      <c r="Z2" s="32"/>
    </row>
    <row r="3" spans="1:26" ht="28.5" customHeight="1" x14ac:dyDescent="0.3">
      <c r="O3" s="26" t="s">
        <v>321</v>
      </c>
      <c r="P3" s="26" t="s">
        <v>322</v>
      </c>
      <c r="Q3" s="26" t="s">
        <v>323</v>
      </c>
      <c r="R3" s="26" t="s">
        <v>324</v>
      </c>
      <c r="S3" s="27" t="s">
        <v>325</v>
      </c>
      <c r="T3" s="32"/>
      <c r="U3" s="31" t="s">
        <v>316</v>
      </c>
      <c r="V3" s="31" t="s">
        <v>317</v>
      </c>
      <c r="W3" s="31" t="s">
        <v>318</v>
      </c>
      <c r="X3" s="31" t="s">
        <v>315</v>
      </c>
      <c r="Y3" s="81"/>
      <c r="Z3" s="79"/>
    </row>
    <row r="4" spans="1:26" ht="18" x14ac:dyDescent="0.3">
      <c r="O4" s="28">
        <f>X4</f>
        <v>319</v>
      </c>
      <c r="P4" s="28">
        <f>U4+W4</f>
        <v>311</v>
      </c>
      <c r="Q4" s="29">
        <f>+P4/O4</f>
        <v>0.97492163009404387</v>
      </c>
      <c r="R4" s="28">
        <f>V4</f>
        <v>8</v>
      </c>
      <c r="S4" s="30">
        <f>-(Q4-100%)</f>
        <v>2.5078369905956133E-2</v>
      </c>
      <c r="T4" s="32"/>
      <c r="U4" s="54">
        <v>308</v>
      </c>
      <c r="V4" s="54">
        <v>8</v>
      </c>
      <c r="W4" s="54">
        <v>3</v>
      </c>
      <c r="X4" s="54">
        <v>319</v>
      </c>
      <c r="Y4" s="81"/>
      <c r="Z4" s="79"/>
    </row>
    <row r="5" spans="1:26" x14ac:dyDescent="0.3">
      <c r="T5" s="32"/>
      <c r="U5" s="82"/>
      <c r="V5" s="82"/>
      <c r="W5" s="82"/>
      <c r="X5" s="82"/>
      <c r="Y5" s="79"/>
      <c r="Z5" s="79"/>
    </row>
    <row r="6" spans="1:26" x14ac:dyDescent="0.3">
      <c r="U6" s="81"/>
      <c r="V6" s="81"/>
      <c r="W6" s="81"/>
      <c r="X6" s="81"/>
      <c r="Y6" s="79"/>
      <c r="Z6" s="79"/>
    </row>
    <row r="8" spans="1:26" x14ac:dyDescent="0.3">
      <c r="A8" s="19" t="s">
        <v>319</v>
      </c>
      <c r="B8" s="19"/>
      <c r="C8" s="65" t="s">
        <v>331</v>
      </c>
      <c r="D8" s="19"/>
      <c r="E8" s="19"/>
      <c r="F8" s="25"/>
      <c r="H8" s="22" t="s">
        <v>319</v>
      </c>
      <c r="I8" s="22"/>
      <c r="J8" s="65" t="s">
        <v>331</v>
      </c>
      <c r="K8" s="23"/>
      <c r="L8" s="23"/>
    </row>
    <row r="9" spans="1:26" ht="28.8" x14ac:dyDescent="0.3">
      <c r="A9" s="20" t="s">
        <v>0</v>
      </c>
      <c r="B9" s="20" t="s">
        <v>1</v>
      </c>
      <c r="C9" s="66" t="s">
        <v>316</v>
      </c>
      <c r="D9" s="66" t="s">
        <v>317</v>
      </c>
      <c r="E9" s="66" t="s">
        <v>318</v>
      </c>
      <c r="F9" s="78" t="s">
        <v>315</v>
      </c>
      <c r="H9" s="21" t="s">
        <v>0</v>
      </c>
      <c r="I9" s="24" t="s">
        <v>1</v>
      </c>
      <c r="J9" s="66" t="s">
        <v>316</v>
      </c>
      <c r="K9" s="66" t="s">
        <v>317</v>
      </c>
      <c r="L9" s="66" t="s">
        <v>318</v>
      </c>
      <c r="M9" s="15" t="s">
        <v>315</v>
      </c>
    </row>
    <row r="10" spans="1:26" x14ac:dyDescent="0.3">
      <c r="A10" s="16" t="s">
        <v>32</v>
      </c>
      <c r="B10" s="3" t="s">
        <v>33</v>
      </c>
      <c r="C10" s="12">
        <v>7</v>
      </c>
      <c r="D10" s="12"/>
      <c r="E10" s="12"/>
      <c r="F10" s="12">
        <v>7</v>
      </c>
      <c r="G10" s="11"/>
      <c r="H10" s="16" t="s">
        <v>32</v>
      </c>
      <c r="I10" s="3" t="s">
        <v>33</v>
      </c>
      <c r="J10" s="13">
        <v>1</v>
      </c>
      <c r="K10" s="13">
        <v>0</v>
      </c>
      <c r="L10" s="13">
        <v>0</v>
      </c>
      <c r="M10" s="14">
        <v>1</v>
      </c>
    </row>
    <row r="11" spans="1:26" x14ac:dyDescent="0.3">
      <c r="A11" s="16" t="s">
        <v>32</v>
      </c>
      <c r="B11" s="3" t="s">
        <v>152</v>
      </c>
      <c r="C11" s="12">
        <v>4</v>
      </c>
      <c r="D11" s="12"/>
      <c r="E11" s="12"/>
      <c r="F11" s="12">
        <v>4</v>
      </c>
      <c r="G11" s="11"/>
      <c r="H11" s="16" t="s">
        <v>32</v>
      </c>
      <c r="I11" s="3" t="s">
        <v>152</v>
      </c>
      <c r="J11" s="13">
        <v>1</v>
      </c>
      <c r="K11" s="13">
        <v>0</v>
      </c>
      <c r="L11" s="13">
        <v>0</v>
      </c>
      <c r="M11" s="14">
        <v>1</v>
      </c>
    </row>
    <row r="12" spans="1:26" x14ac:dyDescent="0.3">
      <c r="A12" s="16" t="s">
        <v>32</v>
      </c>
      <c r="B12" s="3" t="s">
        <v>36</v>
      </c>
      <c r="C12" s="12">
        <v>3</v>
      </c>
      <c r="D12" s="12">
        <v>1</v>
      </c>
      <c r="E12" s="12"/>
      <c r="F12" s="12">
        <v>4</v>
      </c>
      <c r="G12" s="11"/>
      <c r="H12" s="16" t="s">
        <v>32</v>
      </c>
      <c r="I12" s="3" t="s">
        <v>36</v>
      </c>
      <c r="J12" s="13">
        <v>0.75</v>
      </c>
      <c r="K12" s="13">
        <v>0.25</v>
      </c>
      <c r="L12" s="13">
        <v>0</v>
      </c>
      <c r="M12" s="14">
        <v>1</v>
      </c>
    </row>
    <row r="13" spans="1:26" x14ac:dyDescent="0.3">
      <c r="A13" s="16" t="s">
        <v>32</v>
      </c>
      <c r="B13" s="3" t="s">
        <v>48</v>
      </c>
      <c r="C13" s="12">
        <v>19</v>
      </c>
      <c r="D13" s="12"/>
      <c r="E13" s="12"/>
      <c r="F13" s="12">
        <v>19</v>
      </c>
      <c r="G13" s="11"/>
      <c r="H13" s="16" t="s">
        <v>32</v>
      </c>
      <c r="I13" s="3" t="s">
        <v>48</v>
      </c>
      <c r="J13" s="13">
        <v>1</v>
      </c>
      <c r="K13" s="13">
        <v>0</v>
      </c>
      <c r="L13" s="13">
        <v>0</v>
      </c>
      <c r="M13" s="14">
        <v>1</v>
      </c>
    </row>
    <row r="14" spans="1:26" x14ac:dyDescent="0.3">
      <c r="A14" s="16" t="s">
        <v>32</v>
      </c>
      <c r="B14" s="3" t="s">
        <v>37</v>
      </c>
      <c r="C14" s="12">
        <v>6</v>
      </c>
      <c r="D14" s="12">
        <v>1</v>
      </c>
      <c r="E14" s="12"/>
      <c r="F14" s="12">
        <v>7</v>
      </c>
      <c r="G14" s="11"/>
      <c r="H14" s="16" t="s">
        <v>32</v>
      </c>
      <c r="I14" s="3" t="s">
        <v>37</v>
      </c>
      <c r="J14" s="13">
        <v>0.8571428571428571</v>
      </c>
      <c r="K14" s="13">
        <v>0.14285714285714285</v>
      </c>
      <c r="L14" s="13">
        <v>0</v>
      </c>
      <c r="M14" s="14">
        <v>1</v>
      </c>
    </row>
    <row r="15" spans="1:26" x14ac:dyDescent="0.3">
      <c r="A15" s="16" t="s">
        <v>32</v>
      </c>
      <c r="B15" s="3" t="s">
        <v>39</v>
      </c>
      <c r="C15" s="12">
        <v>6</v>
      </c>
      <c r="D15" s="12">
        <v>1</v>
      </c>
      <c r="E15" s="12"/>
      <c r="F15" s="12">
        <v>7</v>
      </c>
      <c r="G15" s="11"/>
      <c r="H15" s="16" t="s">
        <v>32</v>
      </c>
      <c r="I15" s="3" t="s">
        <v>39</v>
      </c>
      <c r="J15" s="13">
        <v>0.8571428571428571</v>
      </c>
      <c r="K15" s="13">
        <v>0.14285714285714285</v>
      </c>
      <c r="L15" s="13">
        <v>0</v>
      </c>
      <c r="M15" s="14">
        <v>1</v>
      </c>
    </row>
    <row r="16" spans="1:26" x14ac:dyDescent="0.3">
      <c r="A16" s="16" t="s">
        <v>32</v>
      </c>
      <c r="B16" s="3" t="s">
        <v>16</v>
      </c>
      <c r="C16" s="12">
        <v>4</v>
      </c>
      <c r="D16" s="12">
        <v>1</v>
      </c>
      <c r="E16" s="12"/>
      <c r="F16" s="12">
        <v>5</v>
      </c>
      <c r="G16" s="11"/>
      <c r="H16" s="16" t="s">
        <v>32</v>
      </c>
      <c r="I16" s="3" t="s">
        <v>16</v>
      </c>
      <c r="J16" s="13">
        <v>0.8</v>
      </c>
      <c r="K16" s="13">
        <v>0.2</v>
      </c>
      <c r="L16" s="13">
        <v>0</v>
      </c>
      <c r="M16" s="14">
        <v>1</v>
      </c>
    </row>
    <row r="17" spans="1:13" x14ac:dyDescent="0.3">
      <c r="A17" s="16" t="s">
        <v>32</v>
      </c>
      <c r="B17" s="3" t="s">
        <v>26</v>
      </c>
      <c r="C17" s="12">
        <v>2</v>
      </c>
      <c r="D17" s="12"/>
      <c r="E17" s="12"/>
      <c r="F17" s="12">
        <v>2</v>
      </c>
      <c r="G17" s="11"/>
      <c r="H17" s="16" t="s">
        <v>32</v>
      </c>
      <c r="I17" s="3" t="s">
        <v>26</v>
      </c>
      <c r="J17" s="13">
        <v>1</v>
      </c>
      <c r="K17" s="13">
        <v>0</v>
      </c>
      <c r="L17" s="13">
        <v>0</v>
      </c>
      <c r="M17" s="14">
        <v>1</v>
      </c>
    </row>
    <row r="18" spans="1:13" x14ac:dyDescent="0.3">
      <c r="A18" s="16" t="s">
        <v>32</v>
      </c>
      <c r="B18" s="3" t="s">
        <v>53</v>
      </c>
      <c r="C18" s="12">
        <v>4</v>
      </c>
      <c r="D18" s="12"/>
      <c r="E18" s="12"/>
      <c r="F18" s="12">
        <v>4</v>
      </c>
      <c r="G18" s="11"/>
      <c r="H18" s="16" t="s">
        <v>32</v>
      </c>
      <c r="I18" s="3" t="s">
        <v>53</v>
      </c>
      <c r="J18" s="13">
        <v>1</v>
      </c>
      <c r="K18" s="13">
        <v>0</v>
      </c>
      <c r="L18" s="13">
        <v>0</v>
      </c>
      <c r="M18" s="14">
        <v>1</v>
      </c>
    </row>
    <row r="19" spans="1:13" x14ac:dyDescent="0.3">
      <c r="A19" s="16" t="s">
        <v>32</v>
      </c>
      <c r="B19" s="3" t="s">
        <v>54</v>
      </c>
      <c r="C19" s="12">
        <v>4</v>
      </c>
      <c r="D19" s="12"/>
      <c r="E19" s="12"/>
      <c r="F19" s="12">
        <v>4</v>
      </c>
      <c r="G19" s="11"/>
      <c r="H19" s="16" t="s">
        <v>32</v>
      </c>
      <c r="I19" s="3" t="s">
        <v>54</v>
      </c>
      <c r="J19" s="13">
        <v>1</v>
      </c>
      <c r="K19" s="13">
        <v>0</v>
      </c>
      <c r="L19" s="13">
        <v>0</v>
      </c>
      <c r="M19" s="14">
        <v>1</v>
      </c>
    </row>
    <row r="20" spans="1:13" x14ac:dyDescent="0.3">
      <c r="A20" s="16" t="s">
        <v>32</v>
      </c>
      <c r="B20" s="3" t="s">
        <v>21</v>
      </c>
      <c r="C20" s="12">
        <v>3</v>
      </c>
      <c r="D20" s="12"/>
      <c r="E20" s="12"/>
      <c r="F20" s="12">
        <v>3</v>
      </c>
      <c r="G20" s="11"/>
      <c r="H20" s="16" t="s">
        <v>32</v>
      </c>
      <c r="I20" s="3" t="s">
        <v>21</v>
      </c>
      <c r="J20" s="13">
        <v>1</v>
      </c>
      <c r="K20" s="13">
        <v>0</v>
      </c>
      <c r="L20" s="13">
        <v>0</v>
      </c>
      <c r="M20" s="14">
        <v>1</v>
      </c>
    </row>
    <row r="21" spans="1:13" x14ac:dyDescent="0.3">
      <c r="A21" s="16" t="s">
        <v>35</v>
      </c>
      <c r="B21" s="3" t="s">
        <v>58</v>
      </c>
      <c r="C21" s="12">
        <v>60</v>
      </c>
      <c r="D21" s="12">
        <v>1</v>
      </c>
      <c r="E21" s="12"/>
      <c r="F21" s="12">
        <v>61</v>
      </c>
      <c r="G21" s="11"/>
      <c r="H21" s="16" t="s">
        <v>35</v>
      </c>
      <c r="I21" s="3" t="s">
        <v>58</v>
      </c>
      <c r="J21" s="13">
        <v>0.98360655737704916</v>
      </c>
      <c r="K21" s="13">
        <v>1.6393442622950821E-2</v>
      </c>
      <c r="L21" s="13">
        <v>0</v>
      </c>
      <c r="M21" s="14">
        <v>1</v>
      </c>
    </row>
    <row r="22" spans="1:13" x14ac:dyDescent="0.3">
      <c r="A22" s="16" t="s">
        <v>20</v>
      </c>
      <c r="B22" s="3" t="s">
        <v>21</v>
      </c>
      <c r="C22" s="12">
        <v>13</v>
      </c>
      <c r="D22" s="12">
        <v>1</v>
      </c>
      <c r="E22" s="12"/>
      <c r="F22" s="12">
        <v>14</v>
      </c>
      <c r="G22" s="11"/>
      <c r="H22" s="16" t="s">
        <v>20</v>
      </c>
      <c r="I22" s="3" t="s">
        <v>21</v>
      </c>
      <c r="J22" s="13">
        <v>0.9285714285714286</v>
      </c>
      <c r="K22" s="13">
        <v>7.1428571428571425E-2</v>
      </c>
      <c r="L22" s="13">
        <v>0</v>
      </c>
      <c r="M22" s="14">
        <v>1</v>
      </c>
    </row>
    <row r="23" spans="1:13" x14ac:dyDescent="0.3">
      <c r="A23" s="16" t="s">
        <v>38</v>
      </c>
      <c r="B23" s="3" t="s">
        <v>61</v>
      </c>
      <c r="C23" s="12">
        <v>15</v>
      </c>
      <c r="D23" s="12"/>
      <c r="E23" s="12"/>
      <c r="F23" s="12">
        <v>15</v>
      </c>
      <c r="G23" s="11"/>
      <c r="H23" s="16" t="s">
        <v>38</v>
      </c>
      <c r="I23" s="3" t="s">
        <v>61</v>
      </c>
      <c r="J23" s="13">
        <v>1</v>
      </c>
      <c r="K23" s="13">
        <v>0</v>
      </c>
      <c r="L23" s="13">
        <v>0</v>
      </c>
      <c r="M23" s="14">
        <v>1</v>
      </c>
    </row>
    <row r="24" spans="1:13" x14ac:dyDescent="0.3">
      <c r="A24" s="16" t="s">
        <v>38</v>
      </c>
      <c r="B24" s="3" t="s">
        <v>63</v>
      </c>
      <c r="C24" s="12"/>
      <c r="D24" s="12">
        <v>4</v>
      </c>
      <c r="E24" s="12"/>
      <c r="F24" s="12">
        <v>4</v>
      </c>
      <c r="G24" s="11"/>
      <c r="H24" s="16" t="s">
        <v>38</v>
      </c>
      <c r="I24" s="3" t="s">
        <v>63</v>
      </c>
      <c r="J24" s="13">
        <v>0</v>
      </c>
      <c r="K24" s="13">
        <v>1</v>
      </c>
      <c r="L24" s="13">
        <v>0</v>
      </c>
      <c r="M24" s="14">
        <v>1</v>
      </c>
    </row>
    <row r="25" spans="1:13" x14ac:dyDescent="0.3">
      <c r="A25" s="16" t="s">
        <v>25</v>
      </c>
      <c r="B25" s="3" t="s">
        <v>65</v>
      </c>
      <c r="C25" s="12">
        <v>3</v>
      </c>
      <c r="D25" s="12"/>
      <c r="E25" s="12"/>
      <c r="F25" s="12">
        <v>3</v>
      </c>
      <c r="G25" s="11"/>
      <c r="H25" s="16" t="s">
        <v>25</v>
      </c>
      <c r="I25" s="3" t="s">
        <v>65</v>
      </c>
      <c r="J25" s="13">
        <v>1</v>
      </c>
      <c r="K25" s="13">
        <v>0</v>
      </c>
      <c r="L25" s="13">
        <v>0</v>
      </c>
      <c r="M25" s="14">
        <v>1</v>
      </c>
    </row>
    <row r="26" spans="1:13" x14ac:dyDescent="0.3">
      <c r="A26" s="16" t="s">
        <v>25</v>
      </c>
      <c r="B26" s="3" t="s">
        <v>67</v>
      </c>
      <c r="C26" s="12">
        <v>5</v>
      </c>
      <c r="D26" s="12"/>
      <c r="E26" s="12"/>
      <c r="F26" s="12">
        <v>5</v>
      </c>
      <c r="G26" s="11"/>
      <c r="H26" s="16" t="s">
        <v>25</v>
      </c>
      <c r="I26" s="3" t="s">
        <v>67</v>
      </c>
      <c r="J26" s="13">
        <v>1</v>
      </c>
      <c r="K26" s="13">
        <v>0</v>
      </c>
      <c r="L26" s="13">
        <v>0</v>
      </c>
      <c r="M26" s="14">
        <v>1</v>
      </c>
    </row>
    <row r="27" spans="1:13" x14ac:dyDescent="0.3">
      <c r="A27" s="16" t="s">
        <v>25</v>
      </c>
      <c r="B27" s="3" t="s">
        <v>68</v>
      </c>
      <c r="C27" s="12">
        <v>10</v>
      </c>
      <c r="D27" s="12"/>
      <c r="E27" s="12"/>
      <c r="F27" s="12">
        <v>10</v>
      </c>
      <c r="G27" s="11"/>
      <c r="H27" s="16" t="s">
        <v>25</v>
      </c>
      <c r="I27" s="3" t="s">
        <v>68</v>
      </c>
      <c r="J27" s="13">
        <v>1</v>
      </c>
      <c r="K27" s="13">
        <v>0</v>
      </c>
      <c r="L27" s="13">
        <v>0</v>
      </c>
      <c r="M27" s="14">
        <v>1</v>
      </c>
    </row>
    <row r="28" spans="1:13" x14ac:dyDescent="0.3">
      <c r="A28" s="16" t="s">
        <v>15</v>
      </c>
      <c r="B28" s="3" t="s">
        <v>69</v>
      </c>
      <c r="C28" s="12">
        <v>24</v>
      </c>
      <c r="D28" s="12">
        <v>1</v>
      </c>
      <c r="E28" s="12"/>
      <c r="F28" s="12">
        <v>25</v>
      </c>
      <c r="G28" s="11"/>
      <c r="H28" s="16" t="s">
        <v>15</v>
      </c>
      <c r="I28" s="3" t="s">
        <v>69</v>
      </c>
      <c r="J28" s="13">
        <v>0.96</v>
      </c>
      <c r="K28" s="13">
        <v>0.04</v>
      </c>
      <c r="L28" s="13">
        <v>0</v>
      </c>
      <c r="M28" s="14">
        <v>1</v>
      </c>
    </row>
    <row r="29" spans="1:13" x14ac:dyDescent="0.3">
      <c r="A29" s="16" t="s">
        <v>47</v>
      </c>
      <c r="B29" s="3" t="s">
        <v>70</v>
      </c>
      <c r="C29" s="12">
        <v>11</v>
      </c>
      <c r="D29" s="12"/>
      <c r="E29" s="12">
        <v>1</v>
      </c>
      <c r="F29" s="12">
        <v>12</v>
      </c>
      <c r="G29" s="11"/>
      <c r="H29" s="16" t="s">
        <v>47</v>
      </c>
      <c r="I29" s="3" t="s">
        <v>70</v>
      </c>
      <c r="J29" s="13">
        <v>0.91666666666666663</v>
      </c>
      <c r="K29" s="13">
        <v>0</v>
      </c>
      <c r="L29" s="13">
        <v>8.3333333333333329E-2</v>
      </c>
      <c r="M29" s="14">
        <v>1</v>
      </c>
    </row>
    <row r="30" spans="1:13" x14ac:dyDescent="0.3">
      <c r="A30" s="16" t="s">
        <v>47</v>
      </c>
      <c r="B30" s="3" t="s">
        <v>71</v>
      </c>
      <c r="C30" s="12">
        <v>13</v>
      </c>
      <c r="D30" s="12"/>
      <c r="E30" s="12"/>
      <c r="F30" s="12">
        <v>13</v>
      </c>
      <c r="G30" s="11"/>
      <c r="H30" s="16" t="s">
        <v>47</v>
      </c>
      <c r="I30" s="3" t="s">
        <v>71</v>
      </c>
      <c r="J30" s="13">
        <v>1</v>
      </c>
      <c r="K30" s="13">
        <v>0</v>
      </c>
      <c r="L30" s="13">
        <v>0</v>
      </c>
      <c r="M30" s="14">
        <v>1</v>
      </c>
    </row>
    <row r="31" spans="1:13" x14ac:dyDescent="0.3">
      <c r="A31" s="16" t="s">
        <v>47</v>
      </c>
      <c r="B31" s="3" t="s">
        <v>72</v>
      </c>
      <c r="C31" s="12">
        <v>5</v>
      </c>
      <c r="D31" s="12"/>
      <c r="E31" s="12"/>
      <c r="F31" s="12">
        <v>5</v>
      </c>
      <c r="G31" s="11"/>
      <c r="H31" s="16" t="s">
        <v>47</v>
      </c>
      <c r="I31" s="3" t="s">
        <v>72</v>
      </c>
      <c r="J31" s="13">
        <v>1</v>
      </c>
      <c r="K31" s="13">
        <v>0</v>
      </c>
      <c r="L31" s="13">
        <v>0</v>
      </c>
      <c r="M31" s="14">
        <v>1</v>
      </c>
    </row>
    <row r="32" spans="1:13" x14ac:dyDescent="0.3">
      <c r="A32" s="16" t="s">
        <v>47</v>
      </c>
      <c r="B32" s="3" t="s">
        <v>74</v>
      </c>
      <c r="C32" s="12">
        <v>3</v>
      </c>
      <c r="D32" s="12"/>
      <c r="E32" s="12"/>
      <c r="F32" s="12">
        <v>3</v>
      </c>
      <c r="G32" s="11"/>
      <c r="H32" s="16" t="s">
        <v>47</v>
      </c>
      <c r="I32" s="3" t="s">
        <v>74</v>
      </c>
      <c r="J32" s="13">
        <v>1</v>
      </c>
      <c r="K32" s="13">
        <v>0</v>
      </c>
      <c r="L32" s="13">
        <v>0</v>
      </c>
      <c r="M32" s="14">
        <v>1</v>
      </c>
    </row>
    <row r="33" spans="1:15" x14ac:dyDescent="0.3">
      <c r="A33" s="16" t="s">
        <v>47</v>
      </c>
      <c r="B33" s="3" t="s">
        <v>75</v>
      </c>
      <c r="C33" s="12">
        <v>4</v>
      </c>
      <c r="D33" s="12"/>
      <c r="E33" s="12"/>
      <c r="F33" s="12">
        <v>4</v>
      </c>
      <c r="G33" s="11"/>
      <c r="H33" s="16" t="s">
        <v>47</v>
      </c>
      <c r="I33" s="3" t="s">
        <v>75</v>
      </c>
      <c r="J33" s="13">
        <v>1</v>
      </c>
      <c r="K33" s="13">
        <v>0</v>
      </c>
      <c r="L33" s="13">
        <v>0</v>
      </c>
      <c r="M33" s="14">
        <v>1</v>
      </c>
    </row>
    <row r="34" spans="1:15" x14ac:dyDescent="0.3">
      <c r="A34" s="16" t="s">
        <v>50</v>
      </c>
      <c r="B34" s="3" t="s">
        <v>76</v>
      </c>
      <c r="C34" s="12">
        <v>2</v>
      </c>
      <c r="D34" s="12"/>
      <c r="E34" s="12"/>
      <c r="F34" s="12">
        <v>2</v>
      </c>
      <c r="G34" s="11"/>
      <c r="H34" s="16" t="s">
        <v>50</v>
      </c>
      <c r="I34" s="3" t="s">
        <v>76</v>
      </c>
      <c r="J34" s="13">
        <v>1</v>
      </c>
      <c r="K34" s="13">
        <v>0</v>
      </c>
      <c r="L34" s="13">
        <v>0</v>
      </c>
      <c r="M34" s="14">
        <v>1</v>
      </c>
    </row>
    <row r="35" spans="1:15" x14ac:dyDescent="0.3">
      <c r="A35" s="16" t="s">
        <v>50</v>
      </c>
      <c r="B35" s="3" t="s">
        <v>77</v>
      </c>
      <c r="C35" s="12">
        <v>6</v>
      </c>
      <c r="D35" s="12"/>
      <c r="E35" s="12">
        <v>3</v>
      </c>
      <c r="F35" s="12">
        <v>9</v>
      </c>
      <c r="G35" s="11"/>
      <c r="H35" s="16" t="s">
        <v>50</v>
      </c>
      <c r="I35" s="3" t="s">
        <v>77</v>
      </c>
      <c r="J35" s="13">
        <v>0.66666666666666663</v>
      </c>
      <c r="K35" s="13">
        <v>0</v>
      </c>
      <c r="L35" s="13">
        <v>0.33333333333333331</v>
      </c>
      <c r="M35" s="14">
        <v>1</v>
      </c>
    </row>
    <row r="36" spans="1:15" x14ac:dyDescent="0.3">
      <c r="A36" s="16" t="s">
        <v>50</v>
      </c>
      <c r="B36" s="3" t="s">
        <v>78</v>
      </c>
      <c r="C36" s="12">
        <v>5</v>
      </c>
      <c r="D36" s="12"/>
      <c r="E36" s="12"/>
      <c r="F36" s="12">
        <v>5</v>
      </c>
      <c r="G36" s="11"/>
      <c r="H36" s="16" t="s">
        <v>50</v>
      </c>
      <c r="I36" s="3" t="s">
        <v>78</v>
      </c>
      <c r="J36" s="13">
        <v>1</v>
      </c>
      <c r="K36" s="13">
        <v>0</v>
      </c>
      <c r="L36" s="13">
        <v>0</v>
      </c>
      <c r="M36" s="14">
        <v>1</v>
      </c>
    </row>
    <row r="37" spans="1:15" x14ac:dyDescent="0.3">
      <c r="A37" s="16" t="s">
        <v>50</v>
      </c>
      <c r="B37" s="3" t="s">
        <v>73</v>
      </c>
      <c r="C37" s="12">
        <v>13</v>
      </c>
      <c r="D37" s="12"/>
      <c r="E37" s="12">
        <v>2</v>
      </c>
      <c r="F37" s="12">
        <v>15</v>
      </c>
      <c r="G37" s="11"/>
      <c r="H37" s="16" t="s">
        <v>50</v>
      </c>
      <c r="I37" s="3" t="s">
        <v>73</v>
      </c>
      <c r="J37" s="13">
        <v>0.8666666666666667</v>
      </c>
      <c r="K37" s="13">
        <v>0</v>
      </c>
      <c r="L37" s="13">
        <v>0.13333333333333333</v>
      </c>
      <c r="M37" s="14">
        <v>1</v>
      </c>
    </row>
    <row r="38" spans="1:15" x14ac:dyDescent="0.3">
      <c r="A38" s="16" t="s">
        <v>50</v>
      </c>
      <c r="B38" s="3" t="s">
        <v>79</v>
      </c>
      <c r="C38" s="12">
        <v>10</v>
      </c>
      <c r="D38" s="12"/>
      <c r="E38" s="12"/>
      <c r="F38" s="12">
        <v>10</v>
      </c>
      <c r="G38" s="11"/>
      <c r="H38" s="16" t="s">
        <v>50</v>
      </c>
      <c r="I38" s="3" t="s">
        <v>79</v>
      </c>
      <c r="J38" s="13">
        <v>1</v>
      </c>
      <c r="K38" s="13">
        <v>0</v>
      </c>
      <c r="L38" s="13">
        <v>0</v>
      </c>
      <c r="M38" s="14">
        <v>1</v>
      </c>
    </row>
    <row r="39" spans="1:15" x14ac:dyDescent="0.3">
      <c r="A39" s="16" t="s">
        <v>50</v>
      </c>
      <c r="B39" s="3" t="s">
        <v>80</v>
      </c>
      <c r="C39" s="12">
        <v>13</v>
      </c>
      <c r="D39" s="12">
        <v>1</v>
      </c>
      <c r="E39" s="12"/>
      <c r="F39" s="12">
        <v>14</v>
      </c>
      <c r="G39" s="11"/>
      <c r="H39" s="16" t="s">
        <v>50</v>
      </c>
      <c r="I39" s="3" t="s">
        <v>80</v>
      </c>
      <c r="J39" s="13">
        <v>0.9285714285714286</v>
      </c>
      <c r="K39" s="13">
        <v>7.1428571428571425E-2</v>
      </c>
      <c r="L39" s="13">
        <v>0</v>
      </c>
      <c r="M39" s="14">
        <v>1</v>
      </c>
    </row>
    <row r="40" spans="1:15" x14ac:dyDescent="0.3">
      <c r="A40" s="16" t="s">
        <v>52</v>
      </c>
      <c r="B40" s="3" t="s">
        <v>70</v>
      </c>
      <c r="C40" s="12">
        <v>14</v>
      </c>
      <c r="D40" s="12"/>
      <c r="E40" s="12"/>
      <c r="F40" s="12">
        <v>14</v>
      </c>
      <c r="G40" s="11"/>
      <c r="H40" s="16" t="s">
        <v>52</v>
      </c>
      <c r="I40" s="3" t="s">
        <v>70</v>
      </c>
      <c r="J40" s="13">
        <v>1</v>
      </c>
      <c r="K40" s="13">
        <v>0</v>
      </c>
      <c r="L40" s="13">
        <v>0</v>
      </c>
      <c r="M40" s="14">
        <v>1</v>
      </c>
    </row>
    <row r="41" spans="1:15" x14ac:dyDescent="0.3">
      <c r="A41" s="16" t="s">
        <v>52</v>
      </c>
      <c r="B41" s="3" t="s">
        <v>81</v>
      </c>
      <c r="C41" s="12">
        <v>5</v>
      </c>
      <c r="D41" s="12"/>
      <c r="E41" s="12"/>
      <c r="F41" s="12">
        <v>5</v>
      </c>
      <c r="G41" s="11"/>
      <c r="H41" s="16" t="s">
        <v>52</v>
      </c>
      <c r="I41" s="3" t="s">
        <v>81</v>
      </c>
      <c r="J41" s="13">
        <v>1</v>
      </c>
      <c r="K41" s="13">
        <v>0</v>
      </c>
      <c r="L41" s="13">
        <v>0</v>
      </c>
      <c r="M41" s="14">
        <v>1</v>
      </c>
    </row>
    <row r="42" spans="1:15" x14ac:dyDescent="0.3">
      <c r="A42" s="16" t="s">
        <v>52</v>
      </c>
      <c r="B42" s="3" t="s">
        <v>21</v>
      </c>
      <c r="C42" s="12">
        <v>4</v>
      </c>
      <c r="D42" s="12"/>
      <c r="E42" s="12"/>
      <c r="F42" s="12">
        <v>4</v>
      </c>
      <c r="G42" s="11"/>
      <c r="H42" s="16" t="s">
        <v>52</v>
      </c>
      <c r="I42" s="3" t="s">
        <v>21</v>
      </c>
      <c r="J42" s="13">
        <v>1</v>
      </c>
      <c r="K42" s="13">
        <v>0</v>
      </c>
      <c r="L42" s="13">
        <v>0</v>
      </c>
      <c r="M42" s="14">
        <v>1</v>
      </c>
    </row>
    <row r="43" spans="1:15" x14ac:dyDescent="0.3">
      <c r="A43" s="17" t="s">
        <v>315</v>
      </c>
      <c r="B43" s="17"/>
      <c r="C43" s="12">
        <v>300</v>
      </c>
      <c r="D43" s="12">
        <v>12</v>
      </c>
      <c r="E43" s="12">
        <v>6</v>
      </c>
      <c r="F43" s="12">
        <v>318</v>
      </c>
      <c r="G43" s="11"/>
      <c r="H43" s="18" t="s">
        <v>315</v>
      </c>
      <c r="I43" s="18"/>
      <c r="J43" s="13">
        <v>0.94339622641509435</v>
      </c>
      <c r="K43" s="13">
        <v>3.7735849056603772E-2</v>
      </c>
      <c r="L43" s="13">
        <v>1.8867924528301886E-2</v>
      </c>
      <c r="M43" s="14">
        <v>1</v>
      </c>
    </row>
    <row r="46" spans="1:15" x14ac:dyDescent="0.3">
      <c r="J46" s="3"/>
      <c r="K46" s="3"/>
      <c r="L46" s="3"/>
      <c r="M46" s="3"/>
      <c r="N46" s="3"/>
      <c r="O46" s="3"/>
    </row>
    <row r="47" spans="1:15" x14ac:dyDescent="0.3">
      <c r="J47" s="3"/>
      <c r="K47" s="3"/>
      <c r="L47" s="3"/>
      <c r="M47" s="3"/>
      <c r="N47" s="3"/>
      <c r="O47" s="3"/>
    </row>
    <row r="48" spans="1:15" x14ac:dyDescent="0.3">
      <c r="J48" s="3"/>
      <c r="K48" s="3"/>
      <c r="L48" s="3"/>
      <c r="M48" s="3"/>
      <c r="N48" s="3"/>
      <c r="O48" s="3"/>
    </row>
    <row r="49" spans="8:15" x14ac:dyDescent="0.3">
      <c r="J49" s="3"/>
      <c r="K49" s="3"/>
      <c r="L49" s="3"/>
      <c r="M49" s="3"/>
      <c r="N49" s="3"/>
      <c r="O49" s="3"/>
    </row>
    <row r="50" spans="8:15" x14ac:dyDescent="0.3">
      <c r="J50" s="3"/>
      <c r="K50" s="3"/>
      <c r="L50" s="3"/>
      <c r="M50" s="3"/>
      <c r="N50" s="3"/>
      <c r="O50" s="3"/>
    </row>
    <row r="51" spans="8:15" x14ac:dyDescent="0.3">
      <c r="J51" s="3"/>
      <c r="K51" s="3"/>
      <c r="L51" s="3"/>
      <c r="M51" s="3"/>
      <c r="N51" s="3"/>
      <c r="O51" s="3"/>
    </row>
    <row r="52" spans="8:15" x14ac:dyDescent="0.3">
      <c r="J52" s="3"/>
      <c r="K52" s="3"/>
      <c r="L52" s="3"/>
      <c r="M52" s="3"/>
      <c r="N52" s="3"/>
      <c r="O52" s="3"/>
    </row>
    <row r="53" spans="8:15" x14ac:dyDescent="0.3">
      <c r="H53"/>
      <c r="I53"/>
      <c r="J53"/>
      <c r="K53"/>
      <c r="L53"/>
      <c r="M53"/>
    </row>
    <row r="54" spans="8:15" x14ac:dyDescent="0.3">
      <c r="H54"/>
      <c r="I54"/>
      <c r="J54"/>
      <c r="K54"/>
      <c r="L54"/>
      <c r="M54"/>
    </row>
    <row r="55" spans="8:15" x14ac:dyDescent="0.3">
      <c r="H55"/>
      <c r="I55"/>
      <c r="J55"/>
      <c r="K55"/>
      <c r="L55"/>
      <c r="M55"/>
    </row>
    <row r="56" spans="8:15" x14ac:dyDescent="0.3">
      <c r="H56"/>
      <c r="I56"/>
      <c r="J56"/>
      <c r="K56"/>
      <c r="L56"/>
      <c r="M56"/>
    </row>
    <row r="57" spans="8:15" x14ac:dyDescent="0.3">
      <c r="H57"/>
      <c r="I57"/>
      <c r="J57"/>
      <c r="K57"/>
      <c r="L57"/>
      <c r="M57"/>
    </row>
    <row r="58" spans="8:15" x14ac:dyDescent="0.3">
      <c r="H58"/>
      <c r="I58"/>
      <c r="J58"/>
      <c r="K58"/>
      <c r="L58"/>
      <c r="M58"/>
    </row>
    <row r="59" spans="8:15" x14ac:dyDescent="0.3">
      <c r="H59"/>
      <c r="I59"/>
      <c r="J59"/>
      <c r="K59"/>
      <c r="L59"/>
      <c r="M59"/>
    </row>
    <row r="60" spans="8:15" x14ac:dyDescent="0.3">
      <c r="H60"/>
      <c r="I60"/>
      <c r="J60"/>
      <c r="K60"/>
      <c r="L60"/>
      <c r="M60"/>
    </row>
    <row r="61" spans="8:15" x14ac:dyDescent="0.3">
      <c r="H61"/>
      <c r="I61"/>
      <c r="J61"/>
      <c r="K61"/>
      <c r="L61"/>
      <c r="M61"/>
    </row>
  </sheetData>
  <mergeCells count="1">
    <mergeCell ref="O2:S2"/>
  </mergeCells>
  <conditionalFormatting pivot="1" sqref="J10:J42">
    <cfRule type="cellIs" dxfId="24" priority="15" operator="greaterThan">
      <formula>0.9</formula>
    </cfRule>
  </conditionalFormatting>
  <conditionalFormatting pivot="1" sqref="K10:K42">
    <cfRule type="cellIs" dxfId="23" priority="14" operator="greaterThan">
      <formula>0.13</formula>
    </cfRule>
  </conditionalFormatting>
  <conditionalFormatting pivot="1" sqref="L10:L42">
    <cfRule type="cellIs" dxfId="22" priority="13" operator="greaterThan">
      <formula>0.01</formula>
    </cfRule>
  </conditionalFormatting>
  <pageMargins left="0.7" right="0.7" top="0.75" bottom="0.75" header="0.3" footer="0.3"/>
  <pageSetup paperSize="9" orientation="portrait" horizontalDpi="300" verticalDpi="300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6417-019D-4A9A-BB5F-50527DACF9A9}">
  <sheetPr>
    <tabColor theme="1" tint="0.499984740745262"/>
  </sheetPr>
  <dimension ref="A1:O5"/>
  <sheetViews>
    <sheetView workbookViewId="0">
      <selection activeCell="A9" sqref="A9"/>
    </sheetView>
  </sheetViews>
  <sheetFormatPr baseColWidth="10" defaultRowHeight="14.4" x14ac:dyDescent="0.3"/>
  <cols>
    <col min="8" max="8" width="21.33203125" bestFit="1" customWidth="1"/>
    <col min="15" max="15" width="15.6640625" customWidth="1"/>
  </cols>
  <sheetData>
    <row r="1" spans="1:15" ht="61.2" thickTop="1" thickBot="1" x14ac:dyDescent="0.35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2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2" t="s">
        <v>11</v>
      </c>
      <c r="M1" s="41" t="s">
        <v>12</v>
      </c>
      <c r="N1" s="41" t="s">
        <v>13</v>
      </c>
      <c r="O1" s="43" t="s">
        <v>14</v>
      </c>
    </row>
    <row r="2" spans="1:15" ht="15" thickTop="1" x14ac:dyDescent="0.3">
      <c r="A2" s="40" t="s">
        <v>25</v>
      </c>
      <c r="B2" s="40" t="s">
        <v>65</v>
      </c>
      <c r="C2" s="40" t="s">
        <v>82</v>
      </c>
      <c r="D2" s="44" t="s">
        <v>83</v>
      </c>
      <c r="E2" s="45">
        <v>5802</v>
      </c>
      <c r="F2" s="46">
        <v>44260</v>
      </c>
      <c r="G2" s="47" t="s">
        <v>28</v>
      </c>
      <c r="H2" s="47" t="s">
        <v>29</v>
      </c>
      <c r="I2" s="40" t="s">
        <v>30</v>
      </c>
      <c r="J2" s="48">
        <v>44270</v>
      </c>
      <c r="K2" s="49" t="s">
        <v>313</v>
      </c>
      <c r="L2" s="50">
        <f t="shared" ref="L2:L5" ca="1" si="0">TODAY()</f>
        <v>44322</v>
      </c>
      <c r="M2" s="51" t="s">
        <v>18</v>
      </c>
      <c r="N2" s="52">
        <v>-12</v>
      </c>
      <c r="O2" s="53" t="s">
        <v>317</v>
      </c>
    </row>
    <row r="3" spans="1:15" x14ac:dyDescent="0.3">
      <c r="A3" s="40" t="s">
        <v>25</v>
      </c>
      <c r="B3" s="40" t="s">
        <v>67</v>
      </c>
      <c r="C3" s="40" t="s">
        <v>98</v>
      </c>
      <c r="D3" s="44" t="s">
        <v>229</v>
      </c>
      <c r="E3" s="45" t="s">
        <v>231</v>
      </c>
      <c r="F3" s="46">
        <v>44447</v>
      </c>
      <c r="G3" s="47" t="s">
        <v>28</v>
      </c>
      <c r="H3" s="47" t="s">
        <v>29</v>
      </c>
      <c r="I3" s="40" t="s">
        <v>30</v>
      </c>
      <c r="J3" s="48">
        <v>44270</v>
      </c>
      <c r="K3" s="49" t="s">
        <v>329</v>
      </c>
      <c r="L3" s="50">
        <f t="shared" ca="1" si="0"/>
        <v>44322</v>
      </c>
      <c r="M3" s="51" t="str">
        <f t="shared" ref="M3:M5" ca="1" si="1">IF(O3="DESCALIBRADO","SI",IF(O3="CALIBRADO","NO",IF(O3="POR CALIBRAR","NO "," ")))</f>
        <v>NO</v>
      </c>
      <c r="N3" s="52">
        <f t="shared" ref="N3:N5" ca="1" si="2">+F3-L3</f>
        <v>125</v>
      </c>
      <c r="O3" s="53" t="str">
        <f t="shared" ref="O3:O5" ca="1" si="3">IF(F3="","",IF(F3-L3&gt;15,"CALIBRADO",IF(AND(F3-L3&lt;=15,F3-L3&gt;=0),"POR CALIBRAR","DESCALIBRADO")))</f>
        <v>CALIBRADO</v>
      </c>
    </row>
    <row r="4" spans="1:15" x14ac:dyDescent="0.3">
      <c r="A4" s="71" t="s">
        <v>50</v>
      </c>
      <c r="B4" s="71" t="s">
        <v>76</v>
      </c>
      <c r="C4" s="71" t="s">
        <v>98</v>
      </c>
      <c r="D4" s="72" t="s">
        <v>41</v>
      </c>
      <c r="E4" s="73" t="s">
        <v>112</v>
      </c>
      <c r="F4" s="74">
        <v>44273</v>
      </c>
      <c r="G4" s="75" t="s">
        <v>28</v>
      </c>
      <c r="H4" s="75" t="s">
        <v>29</v>
      </c>
      <c r="I4" s="71" t="s">
        <v>34</v>
      </c>
      <c r="J4" s="76">
        <v>44250</v>
      </c>
      <c r="K4" s="77" t="s">
        <v>332</v>
      </c>
      <c r="L4" s="50">
        <f t="shared" ca="1" si="0"/>
        <v>44322</v>
      </c>
      <c r="M4" s="51" t="str">
        <f t="shared" ca="1" si="1"/>
        <v>SI</v>
      </c>
      <c r="N4" s="52">
        <f t="shared" ca="1" si="2"/>
        <v>-49</v>
      </c>
      <c r="O4" s="53" t="str">
        <f t="shared" ca="1" si="3"/>
        <v>DESCALIBRADO</v>
      </c>
    </row>
    <row r="5" spans="1:15" x14ac:dyDescent="0.3">
      <c r="A5" s="71" t="s">
        <v>52</v>
      </c>
      <c r="B5" s="71" t="s">
        <v>81</v>
      </c>
      <c r="C5" s="71" t="s">
        <v>82</v>
      </c>
      <c r="D5" s="72" t="s">
        <v>51</v>
      </c>
      <c r="E5" s="73">
        <v>57644</v>
      </c>
      <c r="F5" s="74">
        <v>44271</v>
      </c>
      <c r="G5" s="75" t="s">
        <v>28</v>
      </c>
      <c r="H5" s="75" t="s">
        <v>29</v>
      </c>
      <c r="I5" s="71" t="s">
        <v>30</v>
      </c>
      <c r="J5" s="76">
        <v>44266</v>
      </c>
      <c r="K5" s="77" t="s">
        <v>333</v>
      </c>
      <c r="L5" s="50">
        <f t="shared" ca="1" si="0"/>
        <v>44322</v>
      </c>
      <c r="M5" s="51" t="str">
        <f t="shared" ca="1" si="1"/>
        <v>SI</v>
      </c>
      <c r="N5" s="52">
        <f t="shared" ca="1" si="2"/>
        <v>-51</v>
      </c>
      <c r="O5" s="53" t="str">
        <f t="shared" ca="1" si="3"/>
        <v>DESCALIBRADO</v>
      </c>
    </row>
  </sheetData>
  <autoFilter ref="A1:O5" xr:uid="{9AD51B7B-5823-4617-8D6C-3288622443E3}"/>
  <conditionalFormatting sqref="O2">
    <cfRule type="cellIs" dxfId="21" priority="22" operator="equal">
      <formula>#REF!</formula>
    </cfRule>
  </conditionalFormatting>
  <conditionalFormatting sqref="E1">
    <cfRule type="duplicateValues" dxfId="20" priority="26"/>
  </conditionalFormatting>
  <conditionalFormatting sqref="E1">
    <cfRule type="duplicateValues" dxfId="19" priority="27"/>
    <cfRule type="duplicateValues" dxfId="18" priority="28"/>
  </conditionalFormatting>
  <conditionalFormatting sqref="E1:E2">
    <cfRule type="duplicateValues" dxfId="17" priority="25"/>
  </conditionalFormatting>
  <conditionalFormatting sqref="E1:E2">
    <cfRule type="duplicateValues" dxfId="16" priority="24"/>
  </conditionalFormatting>
  <conditionalFormatting sqref="N2">
    <cfRule type="iconSet" priority="23">
      <iconSet iconSet="3Symbols">
        <cfvo type="percent" val="0"/>
        <cfvo type="num" val="0"/>
        <cfvo type="num" val="15" gte="0"/>
      </iconSet>
    </cfRule>
  </conditionalFormatting>
  <conditionalFormatting sqref="O3">
    <cfRule type="cellIs" dxfId="15" priority="20" operator="equal">
      <formula>#REF!</formula>
    </cfRule>
  </conditionalFormatting>
  <conditionalFormatting sqref="E3">
    <cfRule type="duplicateValues" dxfId="14" priority="17"/>
  </conditionalFormatting>
  <conditionalFormatting sqref="E3">
    <cfRule type="duplicateValues" dxfId="13" priority="16"/>
  </conditionalFormatting>
  <conditionalFormatting sqref="N3">
    <cfRule type="iconSet" priority="21">
      <iconSet iconSet="3Symbols">
        <cfvo type="percent" val="0"/>
        <cfvo type="num" val="0"/>
        <cfvo type="num" val="15" gte="0"/>
      </iconSet>
    </cfRule>
  </conditionalFormatting>
  <conditionalFormatting sqref="O4">
    <cfRule type="cellIs" dxfId="12" priority="14" operator="equal">
      <formula>#REF!</formula>
    </cfRule>
  </conditionalFormatting>
  <conditionalFormatting sqref="E4">
    <cfRule type="duplicateValues" dxfId="11" priority="13"/>
  </conditionalFormatting>
  <conditionalFormatting sqref="E4">
    <cfRule type="duplicateValues" dxfId="10" priority="12"/>
  </conditionalFormatting>
  <conditionalFormatting sqref="N4">
    <cfRule type="iconSet" priority="15">
      <iconSet iconSet="3Symbols">
        <cfvo type="percent" val="0"/>
        <cfvo type="num" val="0"/>
        <cfvo type="num" val="15" gte="0"/>
      </iconSet>
    </cfRule>
  </conditionalFormatting>
  <conditionalFormatting sqref="O5">
    <cfRule type="cellIs" dxfId="9" priority="10" operator="equal">
      <formula>#REF!</formula>
    </cfRule>
  </conditionalFormatting>
  <conditionalFormatting sqref="E5">
    <cfRule type="duplicateValues" dxfId="8" priority="9"/>
  </conditionalFormatting>
  <conditionalFormatting sqref="E5">
    <cfRule type="duplicateValues" dxfId="7" priority="8"/>
  </conditionalFormatting>
  <conditionalFormatting sqref="N5">
    <cfRule type="iconSet" priority="11">
      <iconSet iconSet="3Symbols">
        <cfvo type="percent" val="0"/>
        <cfvo type="num" val="0"/>
        <cfvo type="num" val="15" gte="0"/>
      </iconSet>
    </cfRule>
  </conditionalFormatting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5C8849-2549-496E-BEB3-AE291CA73731}">
          <x14:formula1>
            <xm:f>INTERNO!$F$2:$F$7</xm:f>
          </x14:formula1>
          <xm:sqref>I2:I5</xm:sqref>
        </x14:dataValidation>
        <x14:dataValidation type="list" allowBlank="1" showInputMessage="1" showErrorMessage="1" xr:uid="{FA65D533-252C-497F-AA4D-B1F64BC30D64}">
          <x14:formula1>
            <xm:f>INTERNO!$E$2:$E$4</xm:f>
          </x14:formula1>
          <xm:sqref>H2:H5</xm:sqref>
        </x14:dataValidation>
        <x14:dataValidation type="list" allowBlank="1" showInputMessage="1" showErrorMessage="1" xr:uid="{E9C89E96-67EF-4CAE-BBA7-695DA8103F79}">
          <x14:formula1>
            <xm:f>INTERNO!$G$2:$G$3</xm:f>
          </x14:formula1>
          <xm:sqref>G2:G5</xm:sqref>
        </x14:dataValidation>
        <x14:dataValidation type="list" allowBlank="1" showInputMessage="1" showErrorMessage="1" xr:uid="{006F8993-0D9D-4750-A9A3-0EFA7A638DFE}">
          <x14:formula1>
            <xm:f>INTERNO!$C$2:$C$7</xm:f>
          </x14:formula1>
          <xm:sqref>C2:C5</xm:sqref>
        </x14:dataValidation>
        <x14:dataValidation type="list" allowBlank="1" showInputMessage="1" showErrorMessage="1" xr:uid="{815692CA-C19D-4A14-8979-0298ADDDC09C}">
          <x14:formula1>
            <xm:f>INTERNO!$B$2:$B$35</xm:f>
          </x14:formula1>
          <xm:sqref>B2:B5</xm:sqref>
        </x14:dataValidation>
        <x14:dataValidation type="list" allowBlank="1" showInputMessage="1" showErrorMessage="1" xr:uid="{126A9909-9C30-4BE1-900B-24843BFA0BC4}">
          <x14:formula1>
            <xm:f>INTERNO!$A$2:$A$10</xm:f>
          </x14:formula1>
          <xm:sqref>A2:A5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42A8-6C2B-4621-9633-DE4DB1577B0C}">
  <sheetPr codeName="Hoja3">
    <tabColor theme="8"/>
  </sheetPr>
  <dimension ref="A1:R323"/>
  <sheetViews>
    <sheetView showGridLines="0" tabSelected="1" zoomScale="115" zoomScaleNormal="115" workbookViewId="0">
      <pane xSplit="5" ySplit="1" topLeftCell="F11" activePane="bottomRight" state="frozen"/>
      <selection pane="topRight" activeCell="F1" sqref="F1"/>
      <selection pane="bottomLeft" activeCell="A2" sqref="A2"/>
      <selection pane="bottomRight" activeCell="F3" sqref="F3"/>
    </sheetView>
  </sheetViews>
  <sheetFormatPr baseColWidth="10" defaultRowHeight="14.4" x14ac:dyDescent="0.3"/>
  <cols>
    <col min="1" max="1" width="7.44140625" bestFit="1" customWidth="1"/>
    <col min="2" max="2" width="7.77734375" bestFit="1" customWidth="1"/>
    <col min="3" max="3" width="20.5546875" bestFit="1" customWidth="1"/>
    <col min="4" max="4" width="14.21875" bestFit="1" customWidth="1"/>
    <col min="5" max="5" width="11.109375" bestFit="1" customWidth="1"/>
    <col min="6" max="6" width="18.77734375" customWidth="1"/>
    <col min="7" max="7" width="15.88671875" customWidth="1"/>
    <col min="8" max="8" width="12.5546875" bestFit="1" customWidth="1"/>
    <col min="9" max="9" width="19.109375" customWidth="1"/>
    <col min="10" max="10" width="12.6640625" customWidth="1"/>
    <col min="11" max="11" width="10.88671875" customWidth="1"/>
    <col min="12" max="12" width="11.5546875" customWidth="1"/>
    <col min="13" max="13" width="10.88671875" customWidth="1"/>
    <col min="14" max="14" width="18.5546875" customWidth="1"/>
    <col min="15" max="15" width="13.109375" customWidth="1"/>
    <col min="16" max="16" width="13.6640625" customWidth="1"/>
    <col min="17" max="17" width="13.109375" customWidth="1"/>
    <col min="18" max="18" width="27.109375" customWidth="1"/>
  </cols>
  <sheetData>
    <row r="1" spans="1:18" ht="62.25" customHeight="1" thickTop="1" thickBot="1" x14ac:dyDescent="0.3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127" t="s">
        <v>501</v>
      </c>
      <c r="G1" s="34" t="s">
        <v>5</v>
      </c>
      <c r="H1" s="33" t="s">
        <v>6</v>
      </c>
      <c r="I1" s="33" t="s">
        <v>7</v>
      </c>
      <c r="J1" s="33" t="s">
        <v>8</v>
      </c>
      <c r="K1" s="33" t="s">
        <v>9</v>
      </c>
      <c r="L1" s="33" t="s">
        <v>10</v>
      </c>
      <c r="M1" s="34" t="s">
        <v>11</v>
      </c>
      <c r="N1" s="33" t="s">
        <v>12</v>
      </c>
      <c r="O1" s="33" t="s">
        <v>13</v>
      </c>
      <c r="P1" s="35" t="s">
        <v>331</v>
      </c>
      <c r="Q1" s="87" t="s">
        <v>347</v>
      </c>
      <c r="R1" s="87" t="s">
        <v>477</v>
      </c>
    </row>
    <row r="2" spans="1:18" ht="15" thickTop="1" x14ac:dyDescent="0.3">
      <c r="A2" s="97" t="s">
        <v>38</v>
      </c>
      <c r="B2" s="95" t="s">
        <v>63</v>
      </c>
      <c r="C2" s="97" t="s">
        <v>82</v>
      </c>
      <c r="D2" s="98" t="s">
        <v>85</v>
      </c>
      <c r="E2" s="99" t="s">
        <v>86</v>
      </c>
      <c r="F2" s="100">
        <f t="shared" ref="F2:F65" si="0">G2-365</f>
        <v>44011</v>
      </c>
      <c r="G2" s="100">
        <v>44376</v>
      </c>
      <c r="H2" s="101" t="s">
        <v>28</v>
      </c>
      <c r="I2" s="101" t="s">
        <v>19</v>
      </c>
      <c r="J2" s="102" t="s">
        <v>46</v>
      </c>
      <c r="K2" s="103">
        <v>44270</v>
      </c>
      <c r="L2" s="98" t="s">
        <v>313</v>
      </c>
      <c r="M2" s="104">
        <f t="shared" ref="M2:M32" ca="1" si="1">TODAY()</f>
        <v>44322</v>
      </c>
      <c r="N2" s="105" t="str">
        <f t="shared" ref="N2:N64" ca="1" si="2">IF(P2="DESCALIBRADO","SI",IF(P2="CALIBRADO","NO",IF(P2="POR CALIBRAR","NO "," ")))</f>
        <v>NO</v>
      </c>
      <c r="O2" s="106">
        <f t="shared" ref="O2:O64" ca="1" si="3">+G2-M2</f>
        <v>54</v>
      </c>
      <c r="P2" s="107" t="str">
        <f t="shared" ref="P2:P64" ca="1" si="4">IF(G2="","",IF(G2-M2&gt;15,"CALIBRADO",IF(AND(G2-M2&lt;=15,G2-M2&gt;=0),"POR CALIBRAR","DESCALIBRADO")))</f>
        <v>CALIBRADO</v>
      </c>
      <c r="Q2" s="92" t="s">
        <v>371</v>
      </c>
      <c r="R2" s="114" t="s">
        <v>498</v>
      </c>
    </row>
    <row r="3" spans="1:18" x14ac:dyDescent="0.3">
      <c r="A3" s="1" t="s">
        <v>38</v>
      </c>
      <c r="B3" s="1" t="s">
        <v>61</v>
      </c>
      <c r="C3" s="1" t="s">
        <v>82</v>
      </c>
      <c r="D3" s="3" t="s">
        <v>87</v>
      </c>
      <c r="E3" s="9">
        <v>71905019</v>
      </c>
      <c r="F3" s="118">
        <f t="shared" si="0"/>
        <v>43988</v>
      </c>
      <c r="G3" s="4">
        <v>44353</v>
      </c>
      <c r="H3" s="2" t="s">
        <v>28</v>
      </c>
      <c r="I3" s="2" t="s">
        <v>19</v>
      </c>
      <c r="J3" t="s">
        <v>46</v>
      </c>
      <c r="K3" s="7">
        <v>44270</v>
      </c>
      <c r="L3" s="3" t="s">
        <v>313</v>
      </c>
      <c r="M3" s="36">
        <f t="shared" ca="1" si="1"/>
        <v>44322</v>
      </c>
      <c r="N3" s="37" t="str">
        <f t="shared" ca="1" si="2"/>
        <v>NO</v>
      </c>
      <c r="O3" s="38">
        <f t="shared" ca="1" si="3"/>
        <v>31</v>
      </c>
      <c r="P3" s="39" t="str">
        <f t="shared" ca="1" si="4"/>
        <v>CALIBRADO</v>
      </c>
      <c r="Q3" s="86" t="s">
        <v>361</v>
      </c>
      <c r="R3" t="s">
        <v>476</v>
      </c>
    </row>
    <row r="4" spans="1:18" x14ac:dyDescent="0.3">
      <c r="A4" s="1" t="s">
        <v>38</v>
      </c>
      <c r="B4" s="1" t="s">
        <v>61</v>
      </c>
      <c r="C4" s="1" t="s">
        <v>82</v>
      </c>
      <c r="D4" s="3" t="s">
        <v>87</v>
      </c>
      <c r="E4" s="9">
        <v>71906038</v>
      </c>
      <c r="F4" s="118">
        <f t="shared" si="0"/>
        <v>43990</v>
      </c>
      <c r="G4" s="4">
        <v>44355</v>
      </c>
      <c r="H4" s="2" t="s">
        <v>28</v>
      </c>
      <c r="I4" s="2" t="s">
        <v>19</v>
      </c>
      <c r="J4" t="s">
        <v>46</v>
      </c>
      <c r="K4" s="7">
        <v>44270</v>
      </c>
      <c r="L4" s="3" t="s">
        <v>313</v>
      </c>
      <c r="M4" s="36">
        <f t="shared" ca="1" si="1"/>
        <v>44322</v>
      </c>
      <c r="N4" s="37" t="str">
        <f t="shared" ca="1" si="2"/>
        <v>NO</v>
      </c>
      <c r="O4" s="38">
        <f t="shared" ca="1" si="3"/>
        <v>33</v>
      </c>
      <c r="P4" s="39" t="str">
        <f t="shared" ca="1" si="4"/>
        <v>CALIBRADO</v>
      </c>
      <c r="Q4" t="s">
        <v>348</v>
      </c>
    </row>
    <row r="5" spans="1:18" x14ac:dyDescent="0.3">
      <c r="A5" t="s">
        <v>38</v>
      </c>
      <c r="B5" t="s">
        <v>61</v>
      </c>
      <c r="C5" t="s">
        <v>64</v>
      </c>
      <c r="D5" s="8" t="s">
        <v>95</v>
      </c>
      <c r="E5" s="10">
        <v>1002323230</v>
      </c>
      <c r="F5" s="119">
        <f t="shared" si="0"/>
        <v>43991</v>
      </c>
      <c r="G5" s="4">
        <v>44356</v>
      </c>
      <c r="H5" s="2" t="s">
        <v>28</v>
      </c>
      <c r="I5" s="2" t="s">
        <v>19</v>
      </c>
      <c r="J5" t="s">
        <v>46</v>
      </c>
      <c r="K5" s="7">
        <v>44270</v>
      </c>
      <c r="L5" s="3" t="s">
        <v>313</v>
      </c>
      <c r="M5" s="36">
        <f t="shared" ca="1" si="1"/>
        <v>44322</v>
      </c>
      <c r="N5" s="37" t="str">
        <f t="shared" ca="1" si="2"/>
        <v>NO</v>
      </c>
      <c r="O5" s="38">
        <f t="shared" ca="1" si="3"/>
        <v>34</v>
      </c>
      <c r="P5" s="39" t="str">
        <f t="shared" ca="1" si="4"/>
        <v>CALIBRADO</v>
      </c>
      <c r="Q5" t="s">
        <v>348</v>
      </c>
    </row>
    <row r="6" spans="1:18" x14ac:dyDescent="0.3">
      <c r="A6" t="s">
        <v>38</v>
      </c>
      <c r="B6" t="s">
        <v>61</v>
      </c>
      <c r="C6" t="s">
        <v>64</v>
      </c>
      <c r="D6" s="8" t="s">
        <v>22</v>
      </c>
      <c r="E6" s="10" t="s">
        <v>94</v>
      </c>
      <c r="F6" s="119">
        <f t="shared" si="0"/>
        <v>43992</v>
      </c>
      <c r="G6" s="4">
        <v>44357</v>
      </c>
      <c r="H6" s="2" t="s">
        <v>28</v>
      </c>
      <c r="I6" s="2" t="s">
        <v>19</v>
      </c>
      <c r="J6" t="s">
        <v>46</v>
      </c>
      <c r="K6" s="7">
        <v>44270</v>
      </c>
      <c r="L6" s="3" t="s">
        <v>313</v>
      </c>
      <c r="M6" s="36">
        <f t="shared" ca="1" si="1"/>
        <v>44322</v>
      </c>
      <c r="N6" s="37" t="str">
        <f t="shared" ca="1" si="2"/>
        <v>NO</v>
      </c>
      <c r="O6" s="38">
        <f t="shared" ca="1" si="3"/>
        <v>35</v>
      </c>
      <c r="P6" s="39" t="str">
        <f t="shared" ca="1" si="4"/>
        <v>CALIBRADO</v>
      </c>
      <c r="Q6" t="s">
        <v>348</v>
      </c>
    </row>
    <row r="7" spans="1:18" x14ac:dyDescent="0.3">
      <c r="A7" t="s">
        <v>38</v>
      </c>
      <c r="B7" t="s">
        <v>61</v>
      </c>
      <c r="C7" t="s">
        <v>64</v>
      </c>
      <c r="D7" s="8" t="s">
        <v>96</v>
      </c>
      <c r="E7" s="10" t="s">
        <v>97</v>
      </c>
      <c r="F7" s="119">
        <f t="shared" si="0"/>
        <v>43993</v>
      </c>
      <c r="G7" s="4">
        <v>44358</v>
      </c>
      <c r="H7" s="2" t="s">
        <v>28</v>
      </c>
      <c r="I7" s="2" t="s">
        <v>19</v>
      </c>
      <c r="J7" t="s">
        <v>46</v>
      </c>
      <c r="K7" s="7">
        <v>44270</v>
      </c>
      <c r="L7" s="3" t="s">
        <v>313</v>
      </c>
      <c r="M7" s="36">
        <f t="shared" ca="1" si="1"/>
        <v>44322</v>
      </c>
      <c r="N7" s="37" t="str">
        <f t="shared" ca="1" si="2"/>
        <v>NO</v>
      </c>
      <c r="O7" s="38">
        <f t="shared" ca="1" si="3"/>
        <v>36</v>
      </c>
      <c r="P7" s="39" t="str">
        <f t="shared" ca="1" si="4"/>
        <v>CALIBRADO</v>
      </c>
      <c r="Q7" t="s">
        <v>348</v>
      </c>
    </row>
    <row r="8" spans="1:18" x14ac:dyDescent="0.3">
      <c r="A8" t="s">
        <v>38</v>
      </c>
      <c r="B8" t="s">
        <v>61</v>
      </c>
      <c r="C8" t="s">
        <v>64</v>
      </c>
      <c r="D8" s="8" t="s">
        <v>95</v>
      </c>
      <c r="E8" s="10">
        <v>1001673230</v>
      </c>
      <c r="F8" s="119">
        <f t="shared" si="0"/>
        <v>43994</v>
      </c>
      <c r="G8" s="4">
        <v>44359</v>
      </c>
      <c r="H8" s="2" t="s">
        <v>28</v>
      </c>
      <c r="I8" s="2" t="s">
        <v>19</v>
      </c>
      <c r="J8" t="s">
        <v>46</v>
      </c>
      <c r="K8" s="7">
        <v>44270</v>
      </c>
      <c r="L8" s="3" t="s">
        <v>313</v>
      </c>
      <c r="M8" s="36">
        <f t="shared" ca="1" si="1"/>
        <v>44322</v>
      </c>
      <c r="N8" s="37" t="str">
        <f t="shared" ca="1" si="2"/>
        <v>NO</v>
      </c>
      <c r="O8" s="38">
        <f t="shared" ca="1" si="3"/>
        <v>37</v>
      </c>
      <c r="P8" s="39" t="str">
        <f t="shared" ca="1" si="4"/>
        <v>CALIBRADO</v>
      </c>
      <c r="Q8" t="s">
        <v>348</v>
      </c>
    </row>
    <row r="9" spans="1:18" x14ac:dyDescent="0.3">
      <c r="A9" t="s">
        <v>38</v>
      </c>
      <c r="B9" t="s">
        <v>61</v>
      </c>
      <c r="C9" t="s">
        <v>64</v>
      </c>
      <c r="D9" s="8" t="s">
        <v>22</v>
      </c>
      <c r="E9" s="10" t="s">
        <v>91</v>
      </c>
      <c r="F9" s="119">
        <f t="shared" si="0"/>
        <v>43999</v>
      </c>
      <c r="G9" s="4">
        <v>44364</v>
      </c>
      <c r="H9" s="2" t="s">
        <v>28</v>
      </c>
      <c r="I9" s="2" t="s">
        <v>19</v>
      </c>
      <c r="J9" t="s">
        <v>46</v>
      </c>
      <c r="K9" s="7">
        <v>44270</v>
      </c>
      <c r="L9" s="3" t="s">
        <v>313</v>
      </c>
      <c r="M9" s="36">
        <f t="shared" ca="1" si="1"/>
        <v>44322</v>
      </c>
      <c r="N9" s="37" t="str">
        <f t="shared" ca="1" si="2"/>
        <v>NO</v>
      </c>
      <c r="O9" s="38">
        <f t="shared" ca="1" si="3"/>
        <v>42</v>
      </c>
      <c r="P9" s="39" t="str">
        <f t="shared" ca="1" si="4"/>
        <v>CALIBRADO</v>
      </c>
      <c r="Q9" t="s">
        <v>348</v>
      </c>
    </row>
    <row r="10" spans="1:18" x14ac:dyDescent="0.3">
      <c r="A10" t="s">
        <v>38</v>
      </c>
      <c r="B10" t="s">
        <v>61</v>
      </c>
      <c r="C10" t="s">
        <v>82</v>
      </c>
      <c r="D10" s="8" t="s">
        <v>85</v>
      </c>
      <c r="E10" s="10" t="s">
        <v>90</v>
      </c>
      <c r="F10" s="119">
        <f t="shared" si="0"/>
        <v>44001</v>
      </c>
      <c r="G10" s="4">
        <v>44366</v>
      </c>
      <c r="H10" s="2" t="s">
        <v>28</v>
      </c>
      <c r="I10" s="2" t="s">
        <v>19</v>
      </c>
      <c r="J10" t="s">
        <v>46</v>
      </c>
      <c r="K10" s="7">
        <v>44270</v>
      </c>
      <c r="L10" s="3" t="s">
        <v>313</v>
      </c>
      <c r="M10" s="36">
        <f t="shared" ca="1" si="1"/>
        <v>44322</v>
      </c>
      <c r="N10" s="37" t="str">
        <f t="shared" ca="1" si="2"/>
        <v>NO</v>
      </c>
      <c r="O10" s="38">
        <f t="shared" ca="1" si="3"/>
        <v>44</v>
      </c>
      <c r="P10" s="39" t="str">
        <f t="shared" ca="1" si="4"/>
        <v>CALIBRADO</v>
      </c>
      <c r="Q10" s="86" t="s">
        <v>363</v>
      </c>
      <c r="R10" t="s">
        <v>476</v>
      </c>
    </row>
    <row r="11" spans="1:18" x14ac:dyDescent="0.3">
      <c r="A11" t="s">
        <v>38</v>
      </c>
      <c r="B11" t="s">
        <v>61</v>
      </c>
      <c r="C11" t="s">
        <v>82</v>
      </c>
      <c r="D11" s="8" t="s">
        <v>83</v>
      </c>
      <c r="E11" s="10" t="s">
        <v>84</v>
      </c>
      <c r="F11" s="119">
        <f t="shared" si="0"/>
        <v>44007</v>
      </c>
      <c r="G11" s="4">
        <v>44372</v>
      </c>
      <c r="H11" s="2" t="s">
        <v>28</v>
      </c>
      <c r="I11" s="2" t="s">
        <v>19</v>
      </c>
      <c r="J11" t="s">
        <v>46</v>
      </c>
      <c r="K11" s="7">
        <v>44270</v>
      </c>
      <c r="L11" s="3" t="s">
        <v>313</v>
      </c>
      <c r="M11" s="36">
        <f t="shared" ca="1" si="1"/>
        <v>44322</v>
      </c>
      <c r="N11" s="37" t="str">
        <f t="shared" ca="1" si="2"/>
        <v>NO</v>
      </c>
      <c r="O11" s="38">
        <f t="shared" ca="1" si="3"/>
        <v>50</v>
      </c>
      <c r="P11" s="39" t="str">
        <f t="shared" ca="1" si="4"/>
        <v>CALIBRADO</v>
      </c>
      <c r="Q11" s="86" t="s">
        <v>359</v>
      </c>
      <c r="R11" t="s">
        <v>476</v>
      </c>
    </row>
    <row r="12" spans="1:18" x14ac:dyDescent="0.3">
      <c r="A12" t="s">
        <v>38</v>
      </c>
      <c r="B12" t="s">
        <v>61</v>
      </c>
      <c r="C12" t="s">
        <v>82</v>
      </c>
      <c r="D12" s="8" t="s">
        <v>85</v>
      </c>
      <c r="E12" s="10" t="s">
        <v>88</v>
      </c>
      <c r="F12" s="119">
        <f t="shared" si="0"/>
        <v>44012</v>
      </c>
      <c r="G12" s="4">
        <v>44377</v>
      </c>
      <c r="H12" s="2" t="s">
        <v>28</v>
      </c>
      <c r="I12" s="2" t="s">
        <v>19</v>
      </c>
      <c r="J12" t="s">
        <v>46</v>
      </c>
      <c r="K12" s="7">
        <v>44270</v>
      </c>
      <c r="L12" s="3" t="s">
        <v>313</v>
      </c>
      <c r="M12" s="36">
        <f t="shared" ca="1" si="1"/>
        <v>44322</v>
      </c>
      <c r="N12" s="37" t="str">
        <f t="shared" ca="1" si="2"/>
        <v>NO</v>
      </c>
      <c r="O12" s="38">
        <f t="shared" ca="1" si="3"/>
        <v>55</v>
      </c>
      <c r="P12" s="39" t="str">
        <f t="shared" ca="1" si="4"/>
        <v>CALIBRADO</v>
      </c>
      <c r="Q12" s="86" t="s">
        <v>362</v>
      </c>
      <c r="R12" t="s">
        <v>476</v>
      </c>
    </row>
    <row r="13" spans="1:18" x14ac:dyDescent="0.3">
      <c r="A13" t="s">
        <v>38</v>
      </c>
      <c r="B13" t="s">
        <v>61</v>
      </c>
      <c r="C13" t="s">
        <v>64</v>
      </c>
      <c r="D13" s="8" t="s">
        <v>85</v>
      </c>
      <c r="E13" s="10">
        <v>1203284</v>
      </c>
      <c r="F13" s="119">
        <f t="shared" si="0"/>
        <v>44012</v>
      </c>
      <c r="G13" s="4">
        <v>44377</v>
      </c>
      <c r="H13" s="2" t="s">
        <v>28</v>
      </c>
      <c r="I13" s="2" t="s">
        <v>19</v>
      </c>
      <c r="J13" t="s">
        <v>46</v>
      </c>
      <c r="K13" s="7">
        <v>44270</v>
      </c>
      <c r="L13" s="3" t="s">
        <v>313</v>
      </c>
      <c r="M13" s="36">
        <f t="shared" ca="1" si="1"/>
        <v>44322</v>
      </c>
      <c r="N13" s="37" t="str">
        <f t="shared" ca="1" si="2"/>
        <v>NO</v>
      </c>
      <c r="O13" s="38">
        <f t="shared" ca="1" si="3"/>
        <v>55</v>
      </c>
      <c r="P13" s="39" t="str">
        <f t="shared" ca="1" si="4"/>
        <v>CALIBRADO</v>
      </c>
      <c r="Q13" t="s">
        <v>348</v>
      </c>
    </row>
    <row r="14" spans="1:18" x14ac:dyDescent="0.3">
      <c r="A14" t="s">
        <v>38</v>
      </c>
      <c r="B14" t="s">
        <v>61</v>
      </c>
      <c r="C14" t="s">
        <v>64</v>
      </c>
      <c r="D14" s="8" t="s">
        <v>22</v>
      </c>
      <c r="E14" s="10" t="s">
        <v>92</v>
      </c>
      <c r="F14" s="119">
        <f t="shared" si="0"/>
        <v>44041</v>
      </c>
      <c r="G14" s="4">
        <v>44406</v>
      </c>
      <c r="H14" s="2" t="s">
        <v>28</v>
      </c>
      <c r="I14" s="2" t="s">
        <v>19</v>
      </c>
      <c r="J14" t="s">
        <v>46</v>
      </c>
      <c r="K14" s="7">
        <v>44270</v>
      </c>
      <c r="L14" s="3" t="s">
        <v>313</v>
      </c>
      <c r="M14" s="36">
        <f t="shared" ca="1" si="1"/>
        <v>44322</v>
      </c>
      <c r="N14" s="37" t="str">
        <f t="shared" ca="1" si="2"/>
        <v>NO</v>
      </c>
      <c r="O14" s="38">
        <f t="shared" ca="1" si="3"/>
        <v>84</v>
      </c>
      <c r="P14" s="39" t="str">
        <f t="shared" ca="1" si="4"/>
        <v>CALIBRADO</v>
      </c>
      <c r="Q14" s="86" t="s">
        <v>360</v>
      </c>
      <c r="R14" t="s">
        <v>476</v>
      </c>
    </row>
    <row r="15" spans="1:18" x14ac:dyDescent="0.3">
      <c r="A15" t="s">
        <v>38</v>
      </c>
      <c r="B15" t="s">
        <v>61</v>
      </c>
      <c r="C15" t="s">
        <v>82</v>
      </c>
      <c r="D15" s="8" t="s">
        <v>85</v>
      </c>
      <c r="E15" s="10" t="s">
        <v>89</v>
      </c>
      <c r="F15" s="119">
        <f t="shared" si="0"/>
        <v>44045</v>
      </c>
      <c r="G15" s="4">
        <v>44410</v>
      </c>
      <c r="H15" s="2" t="s">
        <v>28</v>
      </c>
      <c r="I15" s="2" t="s">
        <v>19</v>
      </c>
      <c r="J15" t="s">
        <v>46</v>
      </c>
      <c r="K15" s="7">
        <v>44270</v>
      </c>
      <c r="L15" s="3" t="s">
        <v>313</v>
      </c>
      <c r="M15" s="36">
        <f t="shared" ca="1" si="1"/>
        <v>44322</v>
      </c>
      <c r="N15" s="37" t="str">
        <f t="shared" ca="1" si="2"/>
        <v>NO</v>
      </c>
      <c r="O15" s="38">
        <f t="shared" ca="1" si="3"/>
        <v>88</v>
      </c>
      <c r="P15" s="39" t="str">
        <f t="shared" ca="1" si="4"/>
        <v>CALIBRADO</v>
      </c>
      <c r="Q15" t="s">
        <v>348</v>
      </c>
    </row>
    <row r="16" spans="1:18" x14ac:dyDescent="0.3">
      <c r="A16" t="s">
        <v>38</v>
      </c>
      <c r="B16" t="s">
        <v>61</v>
      </c>
      <c r="C16" t="s">
        <v>64</v>
      </c>
      <c r="D16" s="8" t="s">
        <v>93</v>
      </c>
      <c r="E16" s="10">
        <v>15020333</v>
      </c>
      <c r="F16" s="119">
        <f t="shared" si="0"/>
        <v>44045</v>
      </c>
      <c r="G16" s="4">
        <v>44410</v>
      </c>
      <c r="H16" s="2" t="s">
        <v>28</v>
      </c>
      <c r="I16" s="2" t="s">
        <v>19</v>
      </c>
      <c r="J16" t="s">
        <v>46</v>
      </c>
      <c r="K16" s="7">
        <v>44270</v>
      </c>
      <c r="L16" s="3" t="s">
        <v>313</v>
      </c>
      <c r="M16" s="36">
        <f t="shared" ca="1" si="1"/>
        <v>44322</v>
      </c>
      <c r="N16" s="37" t="str">
        <f t="shared" ca="1" si="2"/>
        <v>NO</v>
      </c>
      <c r="O16" s="38">
        <f t="shared" ca="1" si="3"/>
        <v>88</v>
      </c>
      <c r="P16" s="39" t="str">
        <f t="shared" ca="1" si="4"/>
        <v>CALIBRADO</v>
      </c>
      <c r="Q16" t="s">
        <v>348</v>
      </c>
    </row>
    <row r="17" spans="1:18" x14ac:dyDescent="0.3">
      <c r="A17" t="s">
        <v>50</v>
      </c>
      <c r="B17" t="s">
        <v>76</v>
      </c>
      <c r="C17" t="s">
        <v>98</v>
      </c>
      <c r="D17" s="8" t="s">
        <v>41</v>
      </c>
      <c r="E17" s="93" t="s">
        <v>395</v>
      </c>
      <c r="F17" s="120">
        <f t="shared" si="0"/>
        <v>44172</v>
      </c>
      <c r="G17" s="4">
        <v>44537</v>
      </c>
      <c r="H17" s="2" t="s">
        <v>28</v>
      </c>
      <c r="I17" s="2" t="s">
        <v>19</v>
      </c>
      <c r="J17" t="s">
        <v>46</v>
      </c>
      <c r="K17" s="7">
        <v>44270</v>
      </c>
      <c r="L17" s="3" t="s">
        <v>313</v>
      </c>
      <c r="M17" s="36">
        <f t="shared" ca="1" si="1"/>
        <v>44322</v>
      </c>
      <c r="N17" s="37" t="str">
        <f t="shared" ca="1" si="2"/>
        <v>NO</v>
      </c>
      <c r="O17" s="38">
        <f t="shared" ca="1" si="3"/>
        <v>215</v>
      </c>
      <c r="P17" s="39" t="str">
        <f t="shared" ca="1" si="4"/>
        <v>CALIBRADO</v>
      </c>
      <c r="Q17" s="86" t="s">
        <v>394</v>
      </c>
      <c r="R17" t="s">
        <v>476</v>
      </c>
    </row>
    <row r="18" spans="1:18" x14ac:dyDescent="0.3">
      <c r="A18" t="s">
        <v>50</v>
      </c>
      <c r="B18" t="s">
        <v>76</v>
      </c>
      <c r="C18" t="s">
        <v>149</v>
      </c>
      <c r="D18" s="8" t="s">
        <v>150</v>
      </c>
      <c r="E18" s="10" t="s">
        <v>151</v>
      </c>
      <c r="F18" s="119">
        <v>44103</v>
      </c>
      <c r="G18" s="4">
        <v>44833</v>
      </c>
      <c r="H18" s="2" t="s">
        <v>28</v>
      </c>
      <c r="I18" s="2" t="s">
        <v>19</v>
      </c>
      <c r="J18" t="s">
        <v>46</v>
      </c>
      <c r="K18" s="7">
        <v>44270</v>
      </c>
      <c r="L18" s="3" t="s">
        <v>313</v>
      </c>
      <c r="M18" s="36">
        <f t="shared" ca="1" si="1"/>
        <v>44322</v>
      </c>
      <c r="N18" s="37" t="str">
        <f t="shared" ca="1" si="2"/>
        <v>NO</v>
      </c>
      <c r="O18" s="38">
        <f t="shared" ca="1" si="3"/>
        <v>511</v>
      </c>
      <c r="P18" s="39" t="str">
        <f t="shared" ca="1" si="4"/>
        <v>CALIBRADO</v>
      </c>
      <c r="Q18" t="s">
        <v>348</v>
      </c>
    </row>
    <row r="19" spans="1:18" x14ac:dyDescent="0.3">
      <c r="A19" s="102" t="s">
        <v>52</v>
      </c>
      <c r="B19" s="102" t="s">
        <v>70</v>
      </c>
      <c r="C19" s="102" t="s">
        <v>82</v>
      </c>
      <c r="D19" s="108" t="s">
        <v>66</v>
      </c>
      <c r="E19" s="64" t="s">
        <v>113</v>
      </c>
      <c r="F19" s="121">
        <f t="shared" si="0"/>
        <v>44256</v>
      </c>
      <c r="G19" s="100">
        <v>44621</v>
      </c>
      <c r="H19" s="101" t="s">
        <v>28</v>
      </c>
      <c r="I19" s="101" t="s">
        <v>19</v>
      </c>
      <c r="J19" s="102" t="s">
        <v>46</v>
      </c>
      <c r="K19" s="103">
        <v>44270</v>
      </c>
      <c r="L19" s="98" t="s">
        <v>313</v>
      </c>
      <c r="M19" s="109">
        <f t="shared" ca="1" si="1"/>
        <v>44322</v>
      </c>
      <c r="N19" s="110" t="str">
        <f t="shared" ca="1" si="2"/>
        <v>NO</v>
      </c>
      <c r="O19" s="111">
        <f t="shared" ca="1" si="3"/>
        <v>299</v>
      </c>
      <c r="P19" s="112" t="str">
        <f t="shared" ca="1" si="4"/>
        <v>CALIBRADO</v>
      </c>
      <c r="Q19" s="92" t="s">
        <v>422</v>
      </c>
      <c r="R19" s="114" t="s">
        <v>478</v>
      </c>
    </row>
    <row r="20" spans="1:18" x14ac:dyDescent="0.3">
      <c r="A20" s="102" t="s">
        <v>52</v>
      </c>
      <c r="B20" s="102" t="s">
        <v>70</v>
      </c>
      <c r="C20" s="102" t="s">
        <v>64</v>
      </c>
      <c r="D20" s="108" t="s">
        <v>125</v>
      </c>
      <c r="E20" s="64" t="s">
        <v>126</v>
      </c>
      <c r="F20" s="121">
        <f t="shared" si="0"/>
        <v>44265</v>
      </c>
      <c r="G20" s="100">
        <v>44630</v>
      </c>
      <c r="H20" s="101" t="s">
        <v>28</v>
      </c>
      <c r="I20" s="101" t="s">
        <v>19</v>
      </c>
      <c r="J20" s="102" t="s">
        <v>46</v>
      </c>
      <c r="K20" s="103">
        <v>44270</v>
      </c>
      <c r="L20" s="98" t="s">
        <v>313</v>
      </c>
      <c r="M20" s="109">
        <f t="shared" ca="1" si="1"/>
        <v>44322</v>
      </c>
      <c r="N20" s="110" t="str">
        <f t="shared" ca="1" si="2"/>
        <v>NO</v>
      </c>
      <c r="O20" s="111">
        <f t="shared" ca="1" si="3"/>
        <v>308</v>
      </c>
      <c r="P20" s="112" t="str">
        <f t="shared" ca="1" si="4"/>
        <v>CALIBRADO</v>
      </c>
      <c r="Q20" s="92" t="s">
        <v>422</v>
      </c>
      <c r="R20" s="114" t="s">
        <v>478</v>
      </c>
    </row>
    <row r="21" spans="1:18" x14ac:dyDescent="0.3">
      <c r="A21" s="102" t="s">
        <v>47</v>
      </c>
      <c r="B21" s="102" t="s">
        <v>70</v>
      </c>
      <c r="C21" s="102" t="s">
        <v>64</v>
      </c>
      <c r="D21" s="108" t="s">
        <v>22</v>
      </c>
      <c r="E21" s="64" t="s">
        <v>106</v>
      </c>
      <c r="F21" s="121">
        <f t="shared" si="0"/>
        <v>43939</v>
      </c>
      <c r="G21" s="100">
        <v>44304</v>
      </c>
      <c r="H21" s="101" t="s">
        <v>28</v>
      </c>
      <c r="I21" s="101" t="s">
        <v>19</v>
      </c>
      <c r="J21" s="102" t="s">
        <v>46</v>
      </c>
      <c r="K21" s="103">
        <v>44270</v>
      </c>
      <c r="L21" s="98" t="s">
        <v>313</v>
      </c>
      <c r="M21" s="109">
        <f t="shared" ca="1" si="1"/>
        <v>44322</v>
      </c>
      <c r="N21" s="110" t="str">
        <f t="shared" ca="1" si="2"/>
        <v>SI</v>
      </c>
      <c r="O21" s="111">
        <f t="shared" ca="1" si="3"/>
        <v>-18</v>
      </c>
      <c r="P21" s="112" t="str">
        <f t="shared" ca="1" si="4"/>
        <v>DESCALIBRADO</v>
      </c>
      <c r="Q21" s="92" t="s">
        <v>420</v>
      </c>
      <c r="R21" s="114" t="s">
        <v>479</v>
      </c>
    </row>
    <row r="22" spans="1:18" x14ac:dyDescent="0.3">
      <c r="A22" s="102" t="s">
        <v>52</v>
      </c>
      <c r="B22" s="102" t="s">
        <v>70</v>
      </c>
      <c r="C22" s="102" t="s">
        <v>98</v>
      </c>
      <c r="D22" s="108" t="s">
        <v>66</v>
      </c>
      <c r="E22" s="64">
        <v>895358</v>
      </c>
      <c r="F22" s="121">
        <f t="shared" si="0"/>
        <v>43963</v>
      </c>
      <c r="G22" s="100">
        <v>44328</v>
      </c>
      <c r="H22" s="101" t="s">
        <v>28</v>
      </c>
      <c r="I22" s="101" t="s">
        <v>19</v>
      </c>
      <c r="J22" s="102" t="s">
        <v>46</v>
      </c>
      <c r="K22" s="103">
        <v>44270</v>
      </c>
      <c r="L22" s="98" t="s">
        <v>313</v>
      </c>
      <c r="M22" s="109">
        <f t="shared" ca="1" si="1"/>
        <v>44322</v>
      </c>
      <c r="N22" s="110" t="str">
        <f t="shared" ca="1" si="2"/>
        <v xml:space="preserve">NO </v>
      </c>
      <c r="O22" s="111">
        <f t="shared" ca="1" si="3"/>
        <v>6</v>
      </c>
      <c r="P22" s="112" t="str">
        <f t="shared" ca="1" si="4"/>
        <v>POR CALIBRAR</v>
      </c>
      <c r="Q22" s="92" t="s">
        <v>422</v>
      </c>
      <c r="R22" s="114" t="s">
        <v>478</v>
      </c>
    </row>
    <row r="23" spans="1:18" x14ac:dyDescent="0.3">
      <c r="A23" s="102" t="s">
        <v>47</v>
      </c>
      <c r="B23" s="102" t="s">
        <v>70</v>
      </c>
      <c r="C23" s="102" t="s">
        <v>82</v>
      </c>
      <c r="D23" s="108" t="s">
        <v>83</v>
      </c>
      <c r="E23" s="64">
        <v>36778</v>
      </c>
      <c r="F23" s="121">
        <f t="shared" si="0"/>
        <v>43972</v>
      </c>
      <c r="G23" s="100">
        <v>44337</v>
      </c>
      <c r="H23" s="101" t="s">
        <v>28</v>
      </c>
      <c r="I23" s="101" t="s">
        <v>19</v>
      </c>
      <c r="J23" s="102" t="s">
        <v>46</v>
      </c>
      <c r="K23" s="103">
        <v>44270</v>
      </c>
      <c r="L23" s="98" t="s">
        <v>313</v>
      </c>
      <c r="M23" s="109">
        <f t="shared" ca="1" si="1"/>
        <v>44322</v>
      </c>
      <c r="N23" s="110" t="str">
        <f t="shared" ca="1" si="2"/>
        <v xml:space="preserve">NO </v>
      </c>
      <c r="O23" s="111">
        <f t="shared" ca="1" si="3"/>
        <v>15</v>
      </c>
      <c r="P23" s="112" t="str">
        <f t="shared" ca="1" si="4"/>
        <v>POR CALIBRAR</v>
      </c>
      <c r="Q23" s="92" t="s">
        <v>420</v>
      </c>
      <c r="R23" s="114" t="s">
        <v>479</v>
      </c>
    </row>
    <row r="24" spans="1:18" x14ac:dyDescent="0.3">
      <c r="A24" s="102" t="s">
        <v>47</v>
      </c>
      <c r="B24" s="102" t="s">
        <v>70</v>
      </c>
      <c r="C24" s="102" t="s">
        <v>64</v>
      </c>
      <c r="D24" s="108" t="s">
        <v>22</v>
      </c>
      <c r="E24" s="64" t="s">
        <v>108</v>
      </c>
      <c r="F24" s="121">
        <f t="shared" si="0"/>
        <v>43973</v>
      </c>
      <c r="G24" s="100">
        <v>44338</v>
      </c>
      <c r="H24" s="101" t="s">
        <v>28</v>
      </c>
      <c r="I24" s="101" t="s">
        <v>19</v>
      </c>
      <c r="J24" s="102" t="s">
        <v>46</v>
      </c>
      <c r="K24" s="103">
        <v>44270</v>
      </c>
      <c r="L24" s="98" t="s">
        <v>313</v>
      </c>
      <c r="M24" s="109">
        <f t="shared" ca="1" si="1"/>
        <v>44322</v>
      </c>
      <c r="N24" s="110" t="str">
        <f t="shared" ca="1" si="2"/>
        <v>NO</v>
      </c>
      <c r="O24" s="111">
        <f t="shared" ca="1" si="3"/>
        <v>16</v>
      </c>
      <c r="P24" s="112" t="str">
        <f t="shared" ca="1" si="4"/>
        <v>CALIBRADO</v>
      </c>
      <c r="Q24" s="92" t="s">
        <v>420</v>
      </c>
      <c r="R24" s="114" t="s">
        <v>479</v>
      </c>
    </row>
    <row r="25" spans="1:18" x14ac:dyDescent="0.3">
      <c r="A25" s="102" t="s">
        <v>47</v>
      </c>
      <c r="B25" s="102" t="s">
        <v>70</v>
      </c>
      <c r="C25" s="102" t="s">
        <v>82</v>
      </c>
      <c r="D25" s="108" t="s">
        <v>83</v>
      </c>
      <c r="E25" s="64" t="s">
        <v>102</v>
      </c>
      <c r="F25" s="121">
        <f t="shared" si="0"/>
        <v>43999</v>
      </c>
      <c r="G25" s="100">
        <v>44364</v>
      </c>
      <c r="H25" s="101" t="s">
        <v>28</v>
      </c>
      <c r="I25" s="101" t="s">
        <v>19</v>
      </c>
      <c r="J25" s="102" t="s">
        <v>46</v>
      </c>
      <c r="K25" s="103">
        <v>44270</v>
      </c>
      <c r="L25" s="98" t="s">
        <v>313</v>
      </c>
      <c r="M25" s="109">
        <f t="shared" ca="1" si="1"/>
        <v>44322</v>
      </c>
      <c r="N25" s="110" t="str">
        <f t="shared" ca="1" si="2"/>
        <v>NO</v>
      </c>
      <c r="O25" s="111">
        <f t="shared" ca="1" si="3"/>
        <v>42</v>
      </c>
      <c r="P25" s="112" t="str">
        <f t="shared" ca="1" si="4"/>
        <v>CALIBRADO</v>
      </c>
      <c r="Q25" s="92" t="s">
        <v>420</v>
      </c>
      <c r="R25" s="114" t="s">
        <v>479</v>
      </c>
    </row>
    <row r="26" spans="1:18" x14ac:dyDescent="0.3">
      <c r="A26" t="s">
        <v>47</v>
      </c>
      <c r="B26" t="s">
        <v>70</v>
      </c>
      <c r="C26" t="s">
        <v>98</v>
      </c>
      <c r="D26" s="8" t="s">
        <v>41</v>
      </c>
      <c r="E26" s="10" t="s">
        <v>103</v>
      </c>
      <c r="F26" s="119">
        <f t="shared" si="0"/>
        <v>44007</v>
      </c>
      <c r="G26" s="4">
        <v>44372</v>
      </c>
      <c r="H26" s="2" t="s">
        <v>28</v>
      </c>
      <c r="I26" s="2" t="s">
        <v>19</v>
      </c>
      <c r="J26" t="s">
        <v>46</v>
      </c>
      <c r="K26" s="7">
        <v>44270</v>
      </c>
      <c r="L26" s="3" t="s">
        <v>313</v>
      </c>
      <c r="M26" s="36">
        <f t="shared" ca="1" si="1"/>
        <v>44322</v>
      </c>
      <c r="N26" s="37" t="str">
        <f t="shared" ca="1" si="2"/>
        <v>NO</v>
      </c>
      <c r="O26" s="38">
        <f t="shared" ca="1" si="3"/>
        <v>50</v>
      </c>
      <c r="P26" s="39" t="str">
        <f t="shared" ca="1" si="4"/>
        <v>CALIBRADO</v>
      </c>
      <c r="Q26" t="s">
        <v>348</v>
      </c>
      <c r="R26" s="90" t="s">
        <v>480</v>
      </c>
    </row>
    <row r="27" spans="1:18" x14ac:dyDescent="0.3">
      <c r="A27" s="102" t="s">
        <v>47</v>
      </c>
      <c r="B27" s="102" t="s">
        <v>70</v>
      </c>
      <c r="C27" s="102" t="s">
        <v>64</v>
      </c>
      <c r="D27" s="108" t="s">
        <v>22</v>
      </c>
      <c r="E27" s="64" t="s">
        <v>107</v>
      </c>
      <c r="F27" s="121">
        <f t="shared" si="0"/>
        <v>44012</v>
      </c>
      <c r="G27" s="100">
        <v>44377</v>
      </c>
      <c r="H27" s="101" t="s">
        <v>28</v>
      </c>
      <c r="I27" s="101" t="s">
        <v>19</v>
      </c>
      <c r="J27" s="102" t="s">
        <v>46</v>
      </c>
      <c r="K27" s="103">
        <v>44270</v>
      </c>
      <c r="L27" s="98" t="s">
        <v>313</v>
      </c>
      <c r="M27" s="109">
        <f t="shared" ca="1" si="1"/>
        <v>44322</v>
      </c>
      <c r="N27" s="110" t="str">
        <f t="shared" ca="1" si="2"/>
        <v>NO</v>
      </c>
      <c r="O27" s="111">
        <f t="shared" ca="1" si="3"/>
        <v>55</v>
      </c>
      <c r="P27" s="112" t="str">
        <f t="shared" ca="1" si="4"/>
        <v>CALIBRADO</v>
      </c>
      <c r="Q27" s="92" t="s">
        <v>420</v>
      </c>
      <c r="R27" s="114" t="s">
        <v>479</v>
      </c>
    </row>
    <row r="28" spans="1:18" x14ac:dyDescent="0.3">
      <c r="A28" s="102" t="s">
        <v>47</v>
      </c>
      <c r="B28" s="102" t="s">
        <v>70</v>
      </c>
      <c r="C28" s="102" t="s">
        <v>64</v>
      </c>
      <c r="D28" s="108" t="s">
        <v>109</v>
      </c>
      <c r="E28" s="64" t="s">
        <v>421</v>
      </c>
      <c r="F28" s="121">
        <f t="shared" si="0"/>
        <v>44012</v>
      </c>
      <c r="G28" s="100">
        <v>44377</v>
      </c>
      <c r="H28" s="101" t="s">
        <v>28</v>
      </c>
      <c r="I28" s="101" t="s">
        <v>19</v>
      </c>
      <c r="J28" s="102" t="s">
        <v>46</v>
      </c>
      <c r="K28" s="103">
        <v>44270</v>
      </c>
      <c r="L28" s="98" t="s">
        <v>313</v>
      </c>
      <c r="M28" s="109">
        <f t="shared" ca="1" si="1"/>
        <v>44322</v>
      </c>
      <c r="N28" s="110" t="str">
        <f t="shared" ca="1" si="2"/>
        <v>NO</v>
      </c>
      <c r="O28" s="111">
        <f t="shared" ca="1" si="3"/>
        <v>55</v>
      </c>
      <c r="P28" s="112" t="str">
        <f t="shared" ca="1" si="4"/>
        <v>CALIBRADO</v>
      </c>
      <c r="Q28" s="92" t="s">
        <v>420</v>
      </c>
      <c r="R28" s="114" t="s">
        <v>479</v>
      </c>
    </row>
    <row r="29" spans="1:18" x14ac:dyDescent="0.3">
      <c r="A29" s="102" t="s">
        <v>47</v>
      </c>
      <c r="B29" s="102" t="s">
        <v>70</v>
      </c>
      <c r="C29" s="102" t="s">
        <v>82</v>
      </c>
      <c r="D29" s="108" t="s">
        <v>83</v>
      </c>
      <c r="E29" s="64">
        <v>36776</v>
      </c>
      <c r="F29" s="121">
        <f t="shared" si="0"/>
        <v>44015</v>
      </c>
      <c r="G29" s="100">
        <v>44380</v>
      </c>
      <c r="H29" s="101" t="s">
        <v>28</v>
      </c>
      <c r="I29" s="101" t="s">
        <v>19</v>
      </c>
      <c r="J29" s="102" t="s">
        <v>46</v>
      </c>
      <c r="K29" s="103">
        <v>44270</v>
      </c>
      <c r="L29" s="98" t="s">
        <v>313</v>
      </c>
      <c r="M29" s="109">
        <f t="shared" ca="1" si="1"/>
        <v>44322</v>
      </c>
      <c r="N29" s="110" t="str">
        <f t="shared" ca="1" si="2"/>
        <v>NO</v>
      </c>
      <c r="O29" s="111">
        <f t="shared" ca="1" si="3"/>
        <v>58</v>
      </c>
      <c r="P29" s="112" t="str">
        <f t="shared" ca="1" si="4"/>
        <v>CALIBRADO</v>
      </c>
      <c r="Q29" s="92" t="s">
        <v>420</v>
      </c>
      <c r="R29" s="114" t="s">
        <v>479</v>
      </c>
    </row>
    <row r="30" spans="1:18" x14ac:dyDescent="0.3">
      <c r="A30" s="102" t="s">
        <v>47</v>
      </c>
      <c r="B30" s="102" t="s">
        <v>70</v>
      </c>
      <c r="C30" s="102" t="s">
        <v>98</v>
      </c>
      <c r="D30" s="108" t="s">
        <v>66</v>
      </c>
      <c r="E30" s="64">
        <v>896769</v>
      </c>
      <c r="F30" s="121">
        <f t="shared" si="0"/>
        <v>44029</v>
      </c>
      <c r="G30" s="100">
        <v>44394</v>
      </c>
      <c r="H30" s="101" t="s">
        <v>28</v>
      </c>
      <c r="I30" s="101" t="s">
        <v>19</v>
      </c>
      <c r="J30" s="102" t="s">
        <v>46</v>
      </c>
      <c r="K30" s="103">
        <v>44270</v>
      </c>
      <c r="L30" s="98" t="s">
        <v>313</v>
      </c>
      <c r="M30" s="109">
        <f t="shared" ca="1" si="1"/>
        <v>44322</v>
      </c>
      <c r="N30" s="110" t="str">
        <f t="shared" ca="1" si="2"/>
        <v>NO</v>
      </c>
      <c r="O30" s="111">
        <f t="shared" ca="1" si="3"/>
        <v>72</v>
      </c>
      <c r="P30" s="112" t="str">
        <f t="shared" ca="1" si="4"/>
        <v>CALIBRADO</v>
      </c>
      <c r="Q30" s="92" t="s">
        <v>420</v>
      </c>
      <c r="R30" s="114" t="s">
        <v>479</v>
      </c>
    </row>
    <row r="31" spans="1:18" x14ac:dyDescent="0.3">
      <c r="A31" s="102" t="s">
        <v>47</v>
      </c>
      <c r="B31" s="102" t="s">
        <v>70</v>
      </c>
      <c r="C31" s="102" t="s">
        <v>98</v>
      </c>
      <c r="D31" s="108" t="s">
        <v>66</v>
      </c>
      <c r="E31" s="64">
        <v>896775</v>
      </c>
      <c r="F31" s="121">
        <f t="shared" si="0"/>
        <v>44029</v>
      </c>
      <c r="G31" s="100">
        <v>44394</v>
      </c>
      <c r="H31" s="101" t="s">
        <v>28</v>
      </c>
      <c r="I31" s="101" t="s">
        <v>19</v>
      </c>
      <c r="J31" s="102" t="s">
        <v>46</v>
      </c>
      <c r="K31" s="103">
        <v>44270</v>
      </c>
      <c r="L31" s="98" t="s">
        <v>313</v>
      </c>
      <c r="M31" s="109">
        <f t="shared" ca="1" si="1"/>
        <v>44322</v>
      </c>
      <c r="N31" s="110" t="str">
        <f t="shared" ca="1" si="2"/>
        <v>NO</v>
      </c>
      <c r="O31" s="111">
        <f t="shared" ca="1" si="3"/>
        <v>72</v>
      </c>
      <c r="P31" s="112" t="str">
        <f t="shared" ca="1" si="4"/>
        <v>CALIBRADO</v>
      </c>
      <c r="Q31" s="92" t="s">
        <v>420</v>
      </c>
      <c r="R31" s="114" t="s">
        <v>479</v>
      </c>
    </row>
    <row r="32" spans="1:18" x14ac:dyDescent="0.3">
      <c r="A32" s="102" t="s">
        <v>52</v>
      </c>
      <c r="B32" s="102" t="s">
        <v>70</v>
      </c>
      <c r="C32" s="102" t="s">
        <v>98</v>
      </c>
      <c r="D32" s="108" t="s">
        <v>66</v>
      </c>
      <c r="E32" s="64">
        <v>895359</v>
      </c>
      <c r="F32" s="121">
        <f t="shared" si="0"/>
        <v>44033</v>
      </c>
      <c r="G32" s="100">
        <v>44398</v>
      </c>
      <c r="H32" s="101" t="s">
        <v>28</v>
      </c>
      <c r="I32" s="101" t="s">
        <v>19</v>
      </c>
      <c r="J32" s="102" t="s">
        <v>46</v>
      </c>
      <c r="K32" s="103">
        <v>44270</v>
      </c>
      <c r="L32" s="98" t="s">
        <v>313</v>
      </c>
      <c r="M32" s="109">
        <f t="shared" ca="1" si="1"/>
        <v>44322</v>
      </c>
      <c r="N32" s="110" t="str">
        <f t="shared" ca="1" si="2"/>
        <v>NO</v>
      </c>
      <c r="O32" s="111">
        <f t="shared" ca="1" si="3"/>
        <v>76</v>
      </c>
      <c r="P32" s="112" t="str">
        <f t="shared" ca="1" si="4"/>
        <v>CALIBRADO</v>
      </c>
      <c r="Q32" s="92" t="s">
        <v>422</v>
      </c>
      <c r="R32" s="114" t="s">
        <v>478</v>
      </c>
    </row>
    <row r="33" spans="1:18" x14ac:dyDescent="0.3">
      <c r="A33" s="102" t="s">
        <v>52</v>
      </c>
      <c r="B33" s="102" t="s">
        <v>70</v>
      </c>
      <c r="C33" s="102" t="s">
        <v>98</v>
      </c>
      <c r="D33" s="108" t="s">
        <v>66</v>
      </c>
      <c r="E33" s="64">
        <v>895356</v>
      </c>
      <c r="F33" s="121">
        <f t="shared" si="0"/>
        <v>44074</v>
      </c>
      <c r="G33" s="100">
        <v>44439</v>
      </c>
      <c r="H33" s="101" t="s">
        <v>28</v>
      </c>
      <c r="I33" s="101" t="s">
        <v>19</v>
      </c>
      <c r="J33" s="102" t="s">
        <v>46</v>
      </c>
      <c r="K33" s="103">
        <v>44270</v>
      </c>
      <c r="L33" s="98" t="s">
        <v>313</v>
      </c>
      <c r="M33" s="109">
        <f t="shared" ref="M33:M64" ca="1" si="5">TODAY()</f>
        <v>44322</v>
      </c>
      <c r="N33" s="110" t="str">
        <f t="shared" ca="1" si="2"/>
        <v>NO</v>
      </c>
      <c r="O33" s="111">
        <f t="shared" ca="1" si="3"/>
        <v>117</v>
      </c>
      <c r="P33" s="112" t="str">
        <f t="shared" ca="1" si="4"/>
        <v>CALIBRADO</v>
      </c>
      <c r="Q33" s="92" t="s">
        <v>422</v>
      </c>
      <c r="R33" s="114" t="s">
        <v>478</v>
      </c>
    </row>
    <row r="34" spans="1:18" x14ac:dyDescent="0.3">
      <c r="A34" s="102" t="s">
        <v>52</v>
      </c>
      <c r="B34" s="102" t="s">
        <v>70</v>
      </c>
      <c r="C34" s="102" t="s">
        <v>98</v>
      </c>
      <c r="D34" s="108" t="s">
        <v>66</v>
      </c>
      <c r="E34" s="64">
        <v>895354</v>
      </c>
      <c r="F34" s="121">
        <f t="shared" si="0"/>
        <v>44074</v>
      </c>
      <c r="G34" s="100">
        <v>44439</v>
      </c>
      <c r="H34" s="101" t="s">
        <v>28</v>
      </c>
      <c r="I34" s="101" t="s">
        <v>19</v>
      </c>
      <c r="J34" s="102" t="s">
        <v>46</v>
      </c>
      <c r="K34" s="103">
        <v>44270</v>
      </c>
      <c r="L34" s="98" t="s">
        <v>313</v>
      </c>
      <c r="M34" s="109">
        <f t="shared" ca="1" si="5"/>
        <v>44322</v>
      </c>
      <c r="N34" s="110" t="str">
        <f t="shared" ca="1" si="2"/>
        <v>NO</v>
      </c>
      <c r="O34" s="111">
        <f t="shared" ca="1" si="3"/>
        <v>117</v>
      </c>
      <c r="P34" s="112" t="str">
        <f t="shared" ca="1" si="4"/>
        <v>CALIBRADO</v>
      </c>
      <c r="Q34" s="92" t="s">
        <v>422</v>
      </c>
      <c r="R34" s="114" t="s">
        <v>478</v>
      </c>
    </row>
    <row r="35" spans="1:18" x14ac:dyDescent="0.3">
      <c r="A35" s="102" t="s">
        <v>52</v>
      </c>
      <c r="B35" s="102" t="s">
        <v>70</v>
      </c>
      <c r="C35" s="102" t="s">
        <v>98</v>
      </c>
      <c r="D35" s="108" t="s">
        <v>66</v>
      </c>
      <c r="E35" s="64">
        <v>896763</v>
      </c>
      <c r="F35" s="121">
        <f t="shared" si="0"/>
        <v>44100</v>
      </c>
      <c r="G35" s="100">
        <v>44465</v>
      </c>
      <c r="H35" s="101" t="s">
        <v>28</v>
      </c>
      <c r="I35" s="101" t="s">
        <v>19</v>
      </c>
      <c r="J35" s="102" t="s">
        <v>46</v>
      </c>
      <c r="K35" s="103">
        <v>44270</v>
      </c>
      <c r="L35" s="98" t="s">
        <v>313</v>
      </c>
      <c r="M35" s="109">
        <f t="shared" ca="1" si="5"/>
        <v>44322</v>
      </c>
      <c r="N35" s="110" t="str">
        <f t="shared" ca="1" si="2"/>
        <v>NO</v>
      </c>
      <c r="O35" s="111">
        <f t="shared" ca="1" si="3"/>
        <v>143</v>
      </c>
      <c r="P35" s="112" t="str">
        <f t="shared" ca="1" si="4"/>
        <v>CALIBRADO</v>
      </c>
      <c r="Q35" s="92" t="s">
        <v>422</v>
      </c>
      <c r="R35" s="114" t="s">
        <v>478</v>
      </c>
    </row>
    <row r="36" spans="1:18" x14ac:dyDescent="0.3">
      <c r="A36" s="102" t="s">
        <v>52</v>
      </c>
      <c r="B36" s="102" t="s">
        <v>70</v>
      </c>
      <c r="C36" s="102" t="s">
        <v>98</v>
      </c>
      <c r="D36" s="108" t="s">
        <v>66</v>
      </c>
      <c r="E36" s="64">
        <v>896767</v>
      </c>
      <c r="F36" s="121">
        <f t="shared" si="0"/>
        <v>44100</v>
      </c>
      <c r="G36" s="100">
        <v>44465</v>
      </c>
      <c r="H36" s="101" t="s">
        <v>28</v>
      </c>
      <c r="I36" s="101" t="s">
        <v>19</v>
      </c>
      <c r="J36" s="102" t="s">
        <v>46</v>
      </c>
      <c r="K36" s="103">
        <v>44270</v>
      </c>
      <c r="L36" s="98" t="s">
        <v>313</v>
      </c>
      <c r="M36" s="109">
        <f t="shared" ca="1" si="5"/>
        <v>44322</v>
      </c>
      <c r="N36" s="110" t="str">
        <f t="shared" ca="1" si="2"/>
        <v>NO</v>
      </c>
      <c r="O36" s="111">
        <f t="shared" ca="1" si="3"/>
        <v>143</v>
      </c>
      <c r="P36" s="112" t="str">
        <f t="shared" ca="1" si="4"/>
        <v>CALIBRADO</v>
      </c>
      <c r="Q36" s="92" t="s">
        <v>422</v>
      </c>
      <c r="R36" s="114" t="s">
        <v>478</v>
      </c>
    </row>
    <row r="37" spans="1:18" x14ac:dyDescent="0.3">
      <c r="A37" s="102" t="s">
        <v>52</v>
      </c>
      <c r="B37" s="102" t="s">
        <v>70</v>
      </c>
      <c r="C37" s="102" t="s">
        <v>98</v>
      </c>
      <c r="D37" s="108" t="s">
        <v>66</v>
      </c>
      <c r="E37" s="64">
        <v>896764</v>
      </c>
      <c r="F37" s="121">
        <f t="shared" si="0"/>
        <v>44100</v>
      </c>
      <c r="G37" s="100">
        <v>44465</v>
      </c>
      <c r="H37" s="101" t="s">
        <v>28</v>
      </c>
      <c r="I37" s="101" t="s">
        <v>19</v>
      </c>
      <c r="J37" s="102" t="s">
        <v>46</v>
      </c>
      <c r="K37" s="103">
        <v>44270</v>
      </c>
      <c r="L37" s="98" t="s">
        <v>313</v>
      </c>
      <c r="M37" s="109">
        <f t="shared" ca="1" si="5"/>
        <v>44322</v>
      </c>
      <c r="N37" s="110" t="str">
        <f t="shared" ca="1" si="2"/>
        <v>NO</v>
      </c>
      <c r="O37" s="111">
        <f t="shared" ca="1" si="3"/>
        <v>143</v>
      </c>
      <c r="P37" s="112" t="str">
        <f t="shared" ca="1" si="4"/>
        <v>CALIBRADO</v>
      </c>
      <c r="Q37" s="92" t="s">
        <v>422</v>
      </c>
      <c r="R37" s="114" t="s">
        <v>478</v>
      </c>
    </row>
    <row r="38" spans="1:18" x14ac:dyDescent="0.3">
      <c r="A38" s="102" t="s">
        <v>52</v>
      </c>
      <c r="B38" s="102" t="s">
        <v>70</v>
      </c>
      <c r="C38" s="102" t="s">
        <v>98</v>
      </c>
      <c r="D38" s="108" t="s">
        <v>66</v>
      </c>
      <c r="E38" s="64" t="s">
        <v>114</v>
      </c>
      <c r="F38" s="121">
        <f t="shared" si="0"/>
        <v>44100</v>
      </c>
      <c r="G38" s="100">
        <v>44465</v>
      </c>
      <c r="H38" s="101" t="s">
        <v>28</v>
      </c>
      <c r="I38" s="101" t="s">
        <v>19</v>
      </c>
      <c r="J38" s="102" t="s">
        <v>46</v>
      </c>
      <c r="K38" s="103">
        <v>44270</v>
      </c>
      <c r="L38" s="98" t="s">
        <v>313</v>
      </c>
      <c r="M38" s="109">
        <f t="shared" ca="1" si="5"/>
        <v>44322</v>
      </c>
      <c r="N38" s="110" t="str">
        <f t="shared" ca="1" si="2"/>
        <v>NO</v>
      </c>
      <c r="O38" s="111">
        <f t="shared" ca="1" si="3"/>
        <v>143</v>
      </c>
      <c r="P38" s="112" t="str">
        <f t="shared" ca="1" si="4"/>
        <v>CALIBRADO</v>
      </c>
      <c r="Q38" s="92" t="s">
        <v>422</v>
      </c>
      <c r="R38" s="114" t="s">
        <v>478</v>
      </c>
    </row>
    <row r="39" spans="1:18" x14ac:dyDescent="0.3">
      <c r="A39" s="102" t="s">
        <v>52</v>
      </c>
      <c r="B39" s="102" t="s">
        <v>70</v>
      </c>
      <c r="C39" s="102" t="s">
        <v>64</v>
      </c>
      <c r="D39" s="108" t="s">
        <v>17</v>
      </c>
      <c r="E39" s="64" t="s">
        <v>111</v>
      </c>
      <c r="F39" s="121">
        <f t="shared" si="0"/>
        <v>44118</v>
      </c>
      <c r="G39" s="100">
        <v>44483</v>
      </c>
      <c r="H39" s="101" t="s">
        <v>28</v>
      </c>
      <c r="I39" s="101" t="s">
        <v>19</v>
      </c>
      <c r="J39" s="102" t="s">
        <v>46</v>
      </c>
      <c r="K39" s="103">
        <v>44270</v>
      </c>
      <c r="L39" s="98" t="s">
        <v>313</v>
      </c>
      <c r="M39" s="109">
        <f t="shared" ca="1" si="5"/>
        <v>44322</v>
      </c>
      <c r="N39" s="110" t="str">
        <f t="shared" ca="1" si="2"/>
        <v>NO</v>
      </c>
      <c r="O39" s="111">
        <f t="shared" ca="1" si="3"/>
        <v>161</v>
      </c>
      <c r="P39" s="112" t="str">
        <f t="shared" ca="1" si="4"/>
        <v>CALIBRADO</v>
      </c>
      <c r="Q39" s="92" t="s">
        <v>422</v>
      </c>
      <c r="R39" s="114" t="s">
        <v>478</v>
      </c>
    </row>
    <row r="40" spans="1:18" x14ac:dyDescent="0.3">
      <c r="A40" s="102" t="s">
        <v>52</v>
      </c>
      <c r="B40" s="102" t="s">
        <v>70</v>
      </c>
      <c r="C40" s="102" t="s">
        <v>64</v>
      </c>
      <c r="D40" s="108" t="s">
        <v>17</v>
      </c>
      <c r="E40" s="64" t="s">
        <v>110</v>
      </c>
      <c r="F40" s="121">
        <f t="shared" si="0"/>
        <v>44119</v>
      </c>
      <c r="G40" s="100">
        <v>44484</v>
      </c>
      <c r="H40" s="101" t="s">
        <v>28</v>
      </c>
      <c r="I40" s="101" t="s">
        <v>19</v>
      </c>
      <c r="J40" s="102" t="s">
        <v>46</v>
      </c>
      <c r="K40" s="103">
        <v>44270</v>
      </c>
      <c r="L40" s="98" t="s">
        <v>313</v>
      </c>
      <c r="M40" s="109">
        <f t="shared" ca="1" si="5"/>
        <v>44322</v>
      </c>
      <c r="N40" s="110" t="str">
        <f t="shared" ca="1" si="2"/>
        <v>NO</v>
      </c>
      <c r="O40" s="111">
        <f t="shared" ca="1" si="3"/>
        <v>162</v>
      </c>
      <c r="P40" s="112" t="str">
        <f t="shared" ca="1" si="4"/>
        <v>CALIBRADO</v>
      </c>
      <c r="Q40" s="92" t="s">
        <v>422</v>
      </c>
      <c r="R40" s="114" t="s">
        <v>478</v>
      </c>
    </row>
    <row r="41" spans="1:18" x14ac:dyDescent="0.3">
      <c r="A41" t="s">
        <v>47</v>
      </c>
      <c r="B41" t="s">
        <v>70</v>
      </c>
      <c r="C41" t="s">
        <v>98</v>
      </c>
      <c r="D41" s="8" t="s">
        <v>41</v>
      </c>
      <c r="E41" s="10" t="s">
        <v>104</v>
      </c>
      <c r="F41" s="119">
        <f t="shared" si="0"/>
        <v>44151</v>
      </c>
      <c r="G41" s="4">
        <v>44516</v>
      </c>
      <c r="H41" s="2" t="s">
        <v>28</v>
      </c>
      <c r="I41" s="2" t="s">
        <v>19</v>
      </c>
      <c r="J41" t="s">
        <v>46</v>
      </c>
      <c r="K41" s="7">
        <v>44270</v>
      </c>
      <c r="L41" s="3" t="s">
        <v>313</v>
      </c>
      <c r="M41" s="36">
        <f t="shared" ca="1" si="5"/>
        <v>44322</v>
      </c>
      <c r="N41" s="37" t="str">
        <f t="shared" ca="1" si="2"/>
        <v>NO</v>
      </c>
      <c r="O41" s="38">
        <f t="shared" ca="1" si="3"/>
        <v>194</v>
      </c>
      <c r="P41" s="39" t="str">
        <f t="shared" ca="1" si="4"/>
        <v>CALIBRADO</v>
      </c>
      <c r="Q41" t="s">
        <v>348</v>
      </c>
      <c r="R41" s="90" t="s">
        <v>481</v>
      </c>
    </row>
    <row r="42" spans="1:18" x14ac:dyDescent="0.3">
      <c r="A42" t="s">
        <v>47</v>
      </c>
      <c r="B42" t="s">
        <v>70</v>
      </c>
      <c r="C42" t="s">
        <v>98</v>
      </c>
      <c r="D42" s="8" t="s">
        <v>41</v>
      </c>
      <c r="E42" s="10" t="s">
        <v>105</v>
      </c>
      <c r="F42" s="119">
        <f t="shared" si="0"/>
        <v>44161</v>
      </c>
      <c r="G42" s="4">
        <v>44526</v>
      </c>
      <c r="H42" s="2" t="s">
        <v>28</v>
      </c>
      <c r="I42" s="2" t="s">
        <v>19</v>
      </c>
      <c r="J42" t="s">
        <v>46</v>
      </c>
      <c r="K42" s="7">
        <v>44270</v>
      </c>
      <c r="L42" s="3" t="s">
        <v>313</v>
      </c>
      <c r="M42" s="36">
        <f t="shared" ca="1" si="5"/>
        <v>44322</v>
      </c>
      <c r="N42" s="37" t="str">
        <f t="shared" ca="1" si="2"/>
        <v>NO</v>
      </c>
      <c r="O42" s="38">
        <f t="shared" ca="1" si="3"/>
        <v>204</v>
      </c>
      <c r="P42" s="39" t="str">
        <f t="shared" ca="1" si="4"/>
        <v>CALIBRADO</v>
      </c>
      <c r="Q42" t="s">
        <v>348</v>
      </c>
      <c r="R42" s="90" t="s">
        <v>482</v>
      </c>
    </row>
    <row r="43" spans="1:18" x14ac:dyDescent="0.3">
      <c r="A43" s="102" t="s">
        <v>52</v>
      </c>
      <c r="B43" s="102" t="s">
        <v>70</v>
      </c>
      <c r="C43" s="102" t="s">
        <v>98</v>
      </c>
      <c r="D43" s="108" t="s">
        <v>66</v>
      </c>
      <c r="E43" s="64">
        <v>873784</v>
      </c>
      <c r="F43" s="121">
        <f t="shared" si="0"/>
        <v>44259</v>
      </c>
      <c r="G43" s="100">
        <v>44624</v>
      </c>
      <c r="H43" s="101" t="s">
        <v>28</v>
      </c>
      <c r="I43" s="101" t="s">
        <v>19</v>
      </c>
      <c r="J43" s="102" t="s">
        <v>46</v>
      </c>
      <c r="K43" s="103">
        <v>44270</v>
      </c>
      <c r="L43" s="98" t="s">
        <v>313</v>
      </c>
      <c r="M43" s="109">
        <f t="shared" ca="1" si="5"/>
        <v>44322</v>
      </c>
      <c r="N43" s="110" t="str">
        <f t="shared" ca="1" si="2"/>
        <v>NO</v>
      </c>
      <c r="O43" s="111">
        <f t="shared" ca="1" si="3"/>
        <v>302</v>
      </c>
      <c r="P43" s="112" t="str">
        <f t="shared" ca="1" si="4"/>
        <v>CALIBRADO</v>
      </c>
      <c r="Q43" s="92" t="s">
        <v>422</v>
      </c>
      <c r="R43" s="114" t="s">
        <v>478</v>
      </c>
    </row>
    <row r="44" spans="1:18" x14ac:dyDescent="0.3">
      <c r="A44" s="102" t="s">
        <v>52</v>
      </c>
      <c r="B44" s="102" t="s">
        <v>70</v>
      </c>
      <c r="C44" s="102" t="s">
        <v>98</v>
      </c>
      <c r="D44" s="108" t="s">
        <v>66</v>
      </c>
      <c r="E44" s="64">
        <v>896765</v>
      </c>
      <c r="F44" s="121">
        <f t="shared" si="0"/>
        <v>44259</v>
      </c>
      <c r="G44" s="100">
        <v>44624</v>
      </c>
      <c r="H44" s="101" t="s">
        <v>28</v>
      </c>
      <c r="I44" s="101" t="s">
        <v>19</v>
      </c>
      <c r="J44" s="102" t="s">
        <v>46</v>
      </c>
      <c r="K44" s="103">
        <v>44270</v>
      </c>
      <c r="L44" s="98" t="s">
        <v>313</v>
      </c>
      <c r="M44" s="109">
        <f t="shared" ca="1" si="5"/>
        <v>44322</v>
      </c>
      <c r="N44" s="110" t="str">
        <f t="shared" ca="1" si="2"/>
        <v>NO</v>
      </c>
      <c r="O44" s="111">
        <f t="shared" ca="1" si="3"/>
        <v>302</v>
      </c>
      <c r="P44" s="112" t="str">
        <f t="shared" ca="1" si="4"/>
        <v>CALIBRADO</v>
      </c>
      <c r="Q44" s="92" t="s">
        <v>422</v>
      </c>
      <c r="R44" s="114" t="s">
        <v>478</v>
      </c>
    </row>
    <row r="45" spans="1:18" x14ac:dyDescent="0.3">
      <c r="A45" t="s">
        <v>35</v>
      </c>
      <c r="B45" t="s">
        <v>58</v>
      </c>
      <c r="C45" t="s">
        <v>64</v>
      </c>
      <c r="D45" s="8" t="s">
        <v>85</v>
      </c>
      <c r="E45" s="10" t="s">
        <v>163</v>
      </c>
      <c r="F45" s="119">
        <f t="shared" si="0"/>
        <v>44265</v>
      </c>
      <c r="G45" s="4">
        <v>44630</v>
      </c>
      <c r="H45" s="2" t="s">
        <v>28</v>
      </c>
      <c r="I45" s="2" t="s">
        <v>19</v>
      </c>
      <c r="J45" t="s">
        <v>46</v>
      </c>
      <c r="K45" s="7">
        <v>44270</v>
      </c>
      <c r="L45" s="3" t="s">
        <v>313</v>
      </c>
      <c r="M45" s="36">
        <f t="shared" ca="1" si="5"/>
        <v>44322</v>
      </c>
      <c r="N45" s="37" t="str">
        <f t="shared" ca="1" si="2"/>
        <v>NO</v>
      </c>
      <c r="O45" s="38">
        <f t="shared" ca="1" si="3"/>
        <v>308</v>
      </c>
      <c r="P45" s="39" t="str">
        <f t="shared" ca="1" si="4"/>
        <v>CALIBRADO</v>
      </c>
      <c r="Q45" t="s">
        <v>348</v>
      </c>
    </row>
    <row r="46" spans="1:18" x14ac:dyDescent="0.3">
      <c r="A46" t="s">
        <v>35</v>
      </c>
      <c r="B46" t="s">
        <v>58</v>
      </c>
      <c r="C46" t="s">
        <v>64</v>
      </c>
      <c r="D46" s="8" t="s">
        <v>162</v>
      </c>
      <c r="E46" s="10" t="s">
        <v>175</v>
      </c>
      <c r="F46" s="119">
        <f t="shared" si="0"/>
        <v>44160</v>
      </c>
      <c r="G46" s="4">
        <v>44525</v>
      </c>
      <c r="H46" s="2" t="s">
        <v>28</v>
      </c>
      <c r="I46" s="2" t="s">
        <v>19</v>
      </c>
      <c r="J46" t="s">
        <v>46</v>
      </c>
      <c r="K46" s="7">
        <v>44270</v>
      </c>
      <c r="L46" s="3" t="s">
        <v>313</v>
      </c>
      <c r="M46" s="36">
        <f t="shared" ca="1" si="5"/>
        <v>44322</v>
      </c>
      <c r="N46" s="37" t="str">
        <f t="shared" ca="1" si="2"/>
        <v>NO</v>
      </c>
      <c r="O46" s="38">
        <f t="shared" ca="1" si="3"/>
        <v>203</v>
      </c>
      <c r="P46" s="39" t="str">
        <f t="shared" ca="1" si="4"/>
        <v>CALIBRADO</v>
      </c>
      <c r="Q46" t="s">
        <v>348</v>
      </c>
    </row>
    <row r="47" spans="1:18" x14ac:dyDescent="0.3">
      <c r="A47" t="s">
        <v>35</v>
      </c>
      <c r="B47" t="s">
        <v>58</v>
      </c>
      <c r="C47" t="s">
        <v>82</v>
      </c>
      <c r="D47" s="8" t="s">
        <v>85</v>
      </c>
      <c r="E47" s="10" t="s">
        <v>176</v>
      </c>
      <c r="F47" s="119">
        <f t="shared" si="0"/>
        <v>44232</v>
      </c>
      <c r="G47" s="4">
        <v>44597</v>
      </c>
      <c r="H47" s="2" t="s">
        <v>28</v>
      </c>
      <c r="I47" s="2" t="s">
        <v>19</v>
      </c>
      <c r="J47" t="s">
        <v>46</v>
      </c>
      <c r="K47" s="7">
        <v>44270</v>
      </c>
      <c r="L47" s="3" t="s">
        <v>313</v>
      </c>
      <c r="M47" s="36">
        <f t="shared" ca="1" si="5"/>
        <v>44322</v>
      </c>
      <c r="N47" s="37" t="str">
        <f t="shared" ca="1" si="2"/>
        <v>NO</v>
      </c>
      <c r="O47" s="38">
        <f t="shared" ca="1" si="3"/>
        <v>275</v>
      </c>
      <c r="P47" s="39" t="str">
        <f t="shared" ca="1" si="4"/>
        <v>CALIBRADO</v>
      </c>
      <c r="Q47" t="s">
        <v>348</v>
      </c>
      <c r="R47" s="90" t="s">
        <v>453</v>
      </c>
    </row>
    <row r="48" spans="1:18" x14ac:dyDescent="0.3">
      <c r="A48" t="s">
        <v>35</v>
      </c>
      <c r="B48" t="s">
        <v>58</v>
      </c>
      <c r="C48" t="s">
        <v>82</v>
      </c>
      <c r="D48" s="8" t="s">
        <v>51</v>
      </c>
      <c r="E48" s="10">
        <v>1001</v>
      </c>
      <c r="F48" s="119">
        <f t="shared" si="0"/>
        <v>44257</v>
      </c>
      <c r="G48" s="4">
        <v>44622</v>
      </c>
      <c r="H48" s="2" t="s">
        <v>28</v>
      </c>
      <c r="I48" s="2" t="s">
        <v>19</v>
      </c>
      <c r="J48" t="s">
        <v>46</v>
      </c>
      <c r="K48" s="7">
        <v>44270</v>
      </c>
      <c r="L48" s="3" t="s">
        <v>313</v>
      </c>
      <c r="M48" s="36">
        <f t="shared" ca="1" si="5"/>
        <v>44322</v>
      </c>
      <c r="N48" s="37" t="str">
        <f t="shared" ca="1" si="2"/>
        <v>NO</v>
      </c>
      <c r="O48" s="38">
        <f t="shared" ca="1" si="3"/>
        <v>300</v>
      </c>
      <c r="P48" s="39" t="str">
        <f t="shared" ca="1" si="4"/>
        <v>CALIBRADO</v>
      </c>
      <c r="Q48" t="s">
        <v>348</v>
      </c>
    </row>
    <row r="49" spans="1:18" x14ac:dyDescent="0.3">
      <c r="A49" t="s">
        <v>35</v>
      </c>
      <c r="B49" t="s">
        <v>58</v>
      </c>
      <c r="C49" t="s">
        <v>82</v>
      </c>
      <c r="D49" s="8" t="s">
        <v>130</v>
      </c>
      <c r="E49" s="10">
        <v>3074</v>
      </c>
      <c r="F49" s="119">
        <f t="shared" si="0"/>
        <v>44092</v>
      </c>
      <c r="G49" s="4">
        <v>44457</v>
      </c>
      <c r="H49" s="2" t="s">
        <v>28</v>
      </c>
      <c r="I49" s="2" t="s">
        <v>19</v>
      </c>
      <c r="J49" t="s">
        <v>46</v>
      </c>
      <c r="K49" s="7">
        <v>44270</v>
      </c>
      <c r="L49" s="3" t="s">
        <v>313</v>
      </c>
      <c r="M49" s="36">
        <f t="shared" ca="1" si="5"/>
        <v>44322</v>
      </c>
      <c r="N49" s="37" t="str">
        <f t="shared" ca="1" si="2"/>
        <v>NO</v>
      </c>
      <c r="O49" s="38">
        <f t="shared" ca="1" si="3"/>
        <v>135</v>
      </c>
      <c r="P49" s="39" t="str">
        <f t="shared" ca="1" si="4"/>
        <v>CALIBRADO</v>
      </c>
      <c r="Q49" s="86" t="s">
        <v>458</v>
      </c>
      <c r="R49" t="s">
        <v>476</v>
      </c>
    </row>
    <row r="50" spans="1:18" x14ac:dyDescent="0.3">
      <c r="A50" t="s">
        <v>35</v>
      </c>
      <c r="B50" t="s">
        <v>58</v>
      </c>
      <c r="C50" t="s">
        <v>82</v>
      </c>
      <c r="D50" s="8" t="s">
        <v>127</v>
      </c>
      <c r="E50" s="10">
        <v>2801001102081</v>
      </c>
      <c r="F50" s="119">
        <f t="shared" si="0"/>
        <v>44256</v>
      </c>
      <c r="G50" s="4">
        <v>44621</v>
      </c>
      <c r="H50" s="2" t="s">
        <v>28</v>
      </c>
      <c r="I50" s="2" t="s">
        <v>19</v>
      </c>
      <c r="J50" t="s">
        <v>46</v>
      </c>
      <c r="K50" s="7">
        <v>44270</v>
      </c>
      <c r="L50" s="3" t="s">
        <v>313</v>
      </c>
      <c r="M50" s="36">
        <f t="shared" ca="1" si="5"/>
        <v>44322</v>
      </c>
      <c r="N50" s="37" t="str">
        <f t="shared" ca="1" si="2"/>
        <v>NO</v>
      </c>
      <c r="O50" s="38">
        <f t="shared" ca="1" si="3"/>
        <v>299</v>
      </c>
      <c r="P50" s="39" t="str">
        <f t="shared" ca="1" si="4"/>
        <v>CALIBRADO</v>
      </c>
      <c r="Q50" t="s">
        <v>348</v>
      </c>
    </row>
    <row r="51" spans="1:18" x14ac:dyDescent="0.3">
      <c r="A51" t="s">
        <v>35</v>
      </c>
      <c r="B51" t="s">
        <v>58</v>
      </c>
      <c r="C51" t="s">
        <v>82</v>
      </c>
      <c r="D51" s="8" t="s">
        <v>51</v>
      </c>
      <c r="E51" s="10" t="s">
        <v>156</v>
      </c>
      <c r="F51" s="119">
        <f t="shared" si="0"/>
        <v>44140</v>
      </c>
      <c r="G51" s="4">
        <v>44505</v>
      </c>
      <c r="H51" s="2" t="s">
        <v>28</v>
      </c>
      <c r="I51" s="2" t="s">
        <v>19</v>
      </c>
      <c r="J51" t="s">
        <v>46</v>
      </c>
      <c r="K51" s="7">
        <v>44270</v>
      </c>
      <c r="L51" s="3" t="s">
        <v>313</v>
      </c>
      <c r="M51" s="36">
        <f t="shared" ca="1" si="5"/>
        <v>44322</v>
      </c>
      <c r="N51" s="37" t="str">
        <f t="shared" ca="1" si="2"/>
        <v>NO</v>
      </c>
      <c r="O51" s="38">
        <f t="shared" ca="1" si="3"/>
        <v>183</v>
      </c>
      <c r="P51" s="39" t="str">
        <f t="shared" ca="1" si="4"/>
        <v>CALIBRADO</v>
      </c>
      <c r="Q51" t="s">
        <v>348</v>
      </c>
    </row>
    <row r="52" spans="1:18" x14ac:dyDescent="0.3">
      <c r="A52" t="s">
        <v>35</v>
      </c>
      <c r="B52" t="s">
        <v>58</v>
      </c>
      <c r="C52" t="s">
        <v>82</v>
      </c>
      <c r="D52" s="8" t="s">
        <v>131</v>
      </c>
      <c r="E52" s="10">
        <v>44938534007</v>
      </c>
      <c r="F52" s="119">
        <f t="shared" si="0"/>
        <v>44241</v>
      </c>
      <c r="G52" s="4">
        <v>44606</v>
      </c>
      <c r="H52" s="2" t="s">
        <v>28</v>
      </c>
      <c r="I52" s="2" t="s">
        <v>19</v>
      </c>
      <c r="J52" t="s">
        <v>46</v>
      </c>
      <c r="K52" s="7">
        <v>44270</v>
      </c>
      <c r="L52" s="3" t="s">
        <v>313</v>
      </c>
      <c r="M52" s="36">
        <f t="shared" ca="1" si="5"/>
        <v>44322</v>
      </c>
      <c r="N52" s="37" t="str">
        <f t="shared" ca="1" si="2"/>
        <v>NO</v>
      </c>
      <c r="O52" s="38">
        <f t="shared" ca="1" si="3"/>
        <v>284</v>
      </c>
      <c r="P52" s="39" t="str">
        <f t="shared" ca="1" si="4"/>
        <v>CALIBRADO</v>
      </c>
      <c r="Q52" t="s">
        <v>348</v>
      </c>
    </row>
    <row r="53" spans="1:18" x14ac:dyDescent="0.3">
      <c r="A53" t="s">
        <v>35</v>
      </c>
      <c r="B53" t="s">
        <v>58</v>
      </c>
      <c r="C53" t="s">
        <v>82</v>
      </c>
      <c r="D53" s="8" t="s">
        <v>127</v>
      </c>
      <c r="E53" s="10">
        <v>19114117</v>
      </c>
      <c r="F53" s="119">
        <f t="shared" si="0"/>
        <v>43967</v>
      </c>
      <c r="G53" s="4">
        <v>44332</v>
      </c>
      <c r="H53" s="2" t="s">
        <v>28</v>
      </c>
      <c r="I53" s="2" t="s">
        <v>19</v>
      </c>
      <c r="J53" t="s">
        <v>46</v>
      </c>
      <c r="K53" s="7">
        <v>44270</v>
      </c>
      <c r="L53" s="3" t="s">
        <v>313</v>
      </c>
      <c r="M53" s="36">
        <f t="shared" ca="1" si="5"/>
        <v>44322</v>
      </c>
      <c r="N53" s="37" t="str">
        <f t="shared" ca="1" si="2"/>
        <v xml:space="preserve">NO </v>
      </c>
      <c r="O53" s="38">
        <f t="shared" ca="1" si="3"/>
        <v>10</v>
      </c>
      <c r="P53" s="39" t="str">
        <f t="shared" ca="1" si="4"/>
        <v>POR CALIBRAR</v>
      </c>
      <c r="Q53" s="86" t="s">
        <v>452</v>
      </c>
      <c r="R53" t="s">
        <v>476</v>
      </c>
    </row>
    <row r="54" spans="1:18" x14ac:dyDescent="0.3">
      <c r="A54" t="s">
        <v>35</v>
      </c>
      <c r="B54" t="s">
        <v>58</v>
      </c>
      <c r="C54" t="s">
        <v>82</v>
      </c>
      <c r="D54" s="8" t="s">
        <v>143</v>
      </c>
      <c r="E54" s="10" t="s">
        <v>144</v>
      </c>
      <c r="F54" s="119">
        <f t="shared" si="0"/>
        <v>43969</v>
      </c>
      <c r="G54" s="4">
        <v>44334</v>
      </c>
      <c r="H54" s="2" t="s">
        <v>28</v>
      </c>
      <c r="I54" s="2" t="s">
        <v>19</v>
      </c>
      <c r="J54" t="s">
        <v>46</v>
      </c>
      <c r="K54" s="7">
        <v>44270</v>
      </c>
      <c r="L54" s="3" t="s">
        <v>313</v>
      </c>
      <c r="M54" s="36">
        <f t="shared" ca="1" si="5"/>
        <v>44322</v>
      </c>
      <c r="N54" s="37" t="str">
        <f t="shared" ca="1" si="2"/>
        <v xml:space="preserve">NO </v>
      </c>
      <c r="O54" s="38">
        <f t="shared" ca="1" si="3"/>
        <v>12</v>
      </c>
      <c r="P54" s="39" t="str">
        <f t="shared" ca="1" si="4"/>
        <v>POR CALIBRAR</v>
      </c>
      <c r="Q54" t="s">
        <v>348</v>
      </c>
    </row>
    <row r="55" spans="1:18" x14ac:dyDescent="0.3">
      <c r="A55" t="s">
        <v>35</v>
      </c>
      <c r="B55" t="s">
        <v>58</v>
      </c>
      <c r="C55" t="s">
        <v>64</v>
      </c>
      <c r="D55" s="8" t="s">
        <v>157</v>
      </c>
      <c r="E55" s="10">
        <v>1301492</v>
      </c>
      <c r="F55" s="119">
        <f t="shared" si="0"/>
        <v>43981</v>
      </c>
      <c r="G55" s="4">
        <v>44346</v>
      </c>
      <c r="H55" s="2" t="s">
        <v>28</v>
      </c>
      <c r="I55" s="2" t="s">
        <v>19</v>
      </c>
      <c r="J55" t="s">
        <v>46</v>
      </c>
      <c r="K55" s="7">
        <v>44270</v>
      </c>
      <c r="L55" s="3" t="s">
        <v>313</v>
      </c>
      <c r="M55" s="36">
        <f t="shared" ca="1" si="5"/>
        <v>44322</v>
      </c>
      <c r="N55" s="37" t="str">
        <f t="shared" ca="1" si="2"/>
        <v>NO</v>
      </c>
      <c r="O55" s="38">
        <f t="shared" ca="1" si="3"/>
        <v>24</v>
      </c>
      <c r="P55" s="39" t="str">
        <f t="shared" ca="1" si="4"/>
        <v>CALIBRADO</v>
      </c>
      <c r="Q55" t="s">
        <v>348</v>
      </c>
      <c r="R55" s="96" t="s">
        <v>496</v>
      </c>
    </row>
    <row r="56" spans="1:18" x14ac:dyDescent="0.3">
      <c r="A56" t="s">
        <v>35</v>
      </c>
      <c r="B56" t="s">
        <v>58</v>
      </c>
      <c r="C56" t="s">
        <v>82</v>
      </c>
      <c r="D56" s="8" t="s">
        <v>85</v>
      </c>
      <c r="E56" s="10" t="s">
        <v>146</v>
      </c>
      <c r="F56" s="119">
        <f t="shared" si="0"/>
        <v>43983</v>
      </c>
      <c r="G56" s="4">
        <v>44348</v>
      </c>
      <c r="H56" s="2" t="s">
        <v>28</v>
      </c>
      <c r="I56" s="2" t="s">
        <v>19</v>
      </c>
      <c r="J56" t="s">
        <v>46</v>
      </c>
      <c r="K56" s="7">
        <v>44270</v>
      </c>
      <c r="L56" s="3" t="s">
        <v>313</v>
      </c>
      <c r="M56" s="36">
        <f t="shared" ca="1" si="5"/>
        <v>44322</v>
      </c>
      <c r="N56" s="37" t="str">
        <f t="shared" ca="1" si="2"/>
        <v>NO</v>
      </c>
      <c r="O56" s="38">
        <f t="shared" ca="1" si="3"/>
        <v>26</v>
      </c>
      <c r="P56" s="39" t="str">
        <f t="shared" ca="1" si="4"/>
        <v>CALIBRADO</v>
      </c>
      <c r="Q56" t="s">
        <v>348</v>
      </c>
    </row>
    <row r="57" spans="1:18" x14ac:dyDescent="0.3">
      <c r="A57" t="s">
        <v>35</v>
      </c>
      <c r="B57" t="s">
        <v>58</v>
      </c>
      <c r="C57" t="s">
        <v>64</v>
      </c>
      <c r="D57" s="8" t="s">
        <v>125</v>
      </c>
      <c r="E57" s="10">
        <v>120509</v>
      </c>
      <c r="F57" s="119">
        <f t="shared" si="0"/>
        <v>43985</v>
      </c>
      <c r="G57" s="4">
        <v>44350</v>
      </c>
      <c r="H57" s="2" t="s">
        <v>28</v>
      </c>
      <c r="I57" s="2" t="s">
        <v>19</v>
      </c>
      <c r="J57" t="s">
        <v>46</v>
      </c>
      <c r="K57" s="7">
        <v>44270</v>
      </c>
      <c r="L57" s="3" t="s">
        <v>313</v>
      </c>
      <c r="M57" s="36">
        <f t="shared" ca="1" si="5"/>
        <v>44322</v>
      </c>
      <c r="N57" s="37" t="str">
        <f t="shared" ca="1" si="2"/>
        <v>NO</v>
      </c>
      <c r="O57" s="38">
        <f t="shared" ca="1" si="3"/>
        <v>28</v>
      </c>
      <c r="P57" s="39" t="str">
        <f t="shared" ca="1" si="4"/>
        <v>CALIBRADO</v>
      </c>
      <c r="Q57" s="86" t="s">
        <v>459</v>
      </c>
      <c r="R57" t="s">
        <v>476</v>
      </c>
    </row>
    <row r="58" spans="1:18" x14ac:dyDescent="0.3">
      <c r="A58" t="s">
        <v>35</v>
      </c>
      <c r="B58" t="s">
        <v>58</v>
      </c>
      <c r="C58" t="s">
        <v>82</v>
      </c>
      <c r="D58" s="8" t="s">
        <v>132</v>
      </c>
      <c r="E58" s="10">
        <v>3091013109135</v>
      </c>
      <c r="F58" s="119">
        <f t="shared" si="0"/>
        <v>43990</v>
      </c>
      <c r="G58" s="4">
        <v>44355</v>
      </c>
      <c r="H58" s="2" t="s">
        <v>28</v>
      </c>
      <c r="I58" s="2" t="s">
        <v>19</v>
      </c>
      <c r="J58" t="s">
        <v>46</v>
      </c>
      <c r="K58" s="7">
        <v>44270</v>
      </c>
      <c r="L58" s="3" t="s">
        <v>313</v>
      </c>
      <c r="M58" s="36">
        <f t="shared" ca="1" si="5"/>
        <v>44322</v>
      </c>
      <c r="N58" s="37" t="str">
        <f t="shared" ca="1" si="2"/>
        <v>NO</v>
      </c>
      <c r="O58" s="38">
        <f t="shared" ca="1" si="3"/>
        <v>33</v>
      </c>
      <c r="P58" s="39" t="str">
        <f t="shared" ca="1" si="4"/>
        <v>CALIBRADO</v>
      </c>
      <c r="Q58" s="86" t="s">
        <v>456</v>
      </c>
      <c r="R58" t="s">
        <v>476</v>
      </c>
    </row>
    <row r="59" spans="1:18" x14ac:dyDescent="0.3">
      <c r="A59" t="s">
        <v>35</v>
      </c>
      <c r="B59" t="s">
        <v>58</v>
      </c>
      <c r="C59" t="s">
        <v>64</v>
      </c>
      <c r="D59" s="8" t="s">
        <v>155</v>
      </c>
      <c r="E59" s="10">
        <v>789568</v>
      </c>
      <c r="F59" s="119">
        <f t="shared" si="0"/>
        <v>43990</v>
      </c>
      <c r="G59" s="4">
        <v>44355</v>
      </c>
      <c r="H59" s="2" t="s">
        <v>28</v>
      </c>
      <c r="I59" s="2" t="s">
        <v>19</v>
      </c>
      <c r="J59" t="s">
        <v>46</v>
      </c>
      <c r="K59" s="7">
        <v>44270</v>
      </c>
      <c r="L59" s="3" t="s">
        <v>313</v>
      </c>
      <c r="M59" s="36">
        <f t="shared" ca="1" si="5"/>
        <v>44322</v>
      </c>
      <c r="N59" s="37" t="str">
        <f t="shared" ca="1" si="2"/>
        <v>NO</v>
      </c>
      <c r="O59" s="38">
        <f t="shared" ca="1" si="3"/>
        <v>33</v>
      </c>
      <c r="P59" s="39" t="str">
        <f t="shared" ca="1" si="4"/>
        <v>CALIBRADO</v>
      </c>
      <c r="Q59" s="86" t="s">
        <v>466</v>
      </c>
      <c r="R59" t="s">
        <v>476</v>
      </c>
    </row>
    <row r="60" spans="1:18" x14ac:dyDescent="0.3">
      <c r="A60" s="102" t="s">
        <v>35</v>
      </c>
      <c r="B60" s="102" t="s">
        <v>58</v>
      </c>
      <c r="C60" s="102" t="s">
        <v>82</v>
      </c>
      <c r="D60" s="108" t="s">
        <v>85</v>
      </c>
      <c r="E60" s="64">
        <v>6601651550469190</v>
      </c>
      <c r="F60" s="121">
        <f t="shared" si="0"/>
        <v>43997</v>
      </c>
      <c r="G60" s="100">
        <v>44362</v>
      </c>
      <c r="H60" s="101" t="s">
        <v>28</v>
      </c>
      <c r="I60" s="101" t="s">
        <v>19</v>
      </c>
      <c r="J60" s="102" t="s">
        <v>46</v>
      </c>
      <c r="K60" s="103">
        <v>44270</v>
      </c>
      <c r="L60" s="98" t="s">
        <v>313</v>
      </c>
      <c r="M60" s="109">
        <f t="shared" ca="1" si="5"/>
        <v>44322</v>
      </c>
      <c r="N60" s="110" t="str">
        <f t="shared" ca="1" si="2"/>
        <v>NO</v>
      </c>
      <c r="O60" s="111">
        <f t="shared" ca="1" si="3"/>
        <v>40</v>
      </c>
      <c r="P60" s="112" t="str">
        <f t="shared" ca="1" si="4"/>
        <v>CALIBRADO</v>
      </c>
      <c r="Q60" s="92" t="s">
        <v>463</v>
      </c>
      <c r="R60" s="114" t="s">
        <v>476</v>
      </c>
    </row>
    <row r="61" spans="1:18" x14ac:dyDescent="0.3">
      <c r="A61" t="s">
        <v>35</v>
      </c>
      <c r="B61" t="s">
        <v>58</v>
      </c>
      <c r="C61" t="s">
        <v>64</v>
      </c>
      <c r="D61" s="8" t="s">
        <v>85</v>
      </c>
      <c r="E61" s="10">
        <v>6601651550469200</v>
      </c>
      <c r="F61" s="119">
        <f t="shared" si="0"/>
        <v>43997</v>
      </c>
      <c r="G61" s="4">
        <v>44362</v>
      </c>
      <c r="H61" s="2" t="s">
        <v>28</v>
      </c>
      <c r="I61" s="2" t="s">
        <v>19</v>
      </c>
      <c r="J61" t="s">
        <v>46</v>
      </c>
      <c r="K61" s="7">
        <v>44270</v>
      </c>
      <c r="L61" s="3" t="s">
        <v>313</v>
      </c>
      <c r="M61" s="36">
        <f t="shared" ca="1" si="5"/>
        <v>44322</v>
      </c>
      <c r="N61" s="37" t="str">
        <f t="shared" ca="1" si="2"/>
        <v>NO</v>
      </c>
      <c r="O61" s="38">
        <f t="shared" ca="1" si="3"/>
        <v>40</v>
      </c>
      <c r="P61" s="39" t="str">
        <f t="shared" ca="1" si="4"/>
        <v>CALIBRADO</v>
      </c>
      <c r="Q61" s="86" t="s">
        <v>464</v>
      </c>
      <c r="R61" t="s">
        <v>476</v>
      </c>
    </row>
    <row r="62" spans="1:18" x14ac:dyDescent="0.3">
      <c r="A62" t="s">
        <v>35</v>
      </c>
      <c r="B62" t="s">
        <v>58</v>
      </c>
      <c r="C62" t="s">
        <v>82</v>
      </c>
      <c r="D62" s="8" t="s">
        <v>128</v>
      </c>
      <c r="E62" s="10">
        <v>2708190323</v>
      </c>
      <c r="F62" s="119">
        <f t="shared" si="0"/>
        <v>44000</v>
      </c>
      <c r="G62" s="4">
        <v>44365</v>
      </c>
      <c r="H62" s="2" t="s">
        <v>28</v>
      </c>
      <c r="I62" s="2" t="s">
        <v>19</v>
      </c>
      <c r="J62" t="s">
        <v>46</v>
      </c>
      <c r="K62" s="7">
        <v>44270</v>
      </c>
      <c r="L62" s="3" t="s">
        <v>313</v>
      </c>
      <c r="M62" s="36">
        <f t="shared" ca="1" si="5"/>
        <v>44322</v>
      </c>
      <c r="N62" s="37" t="str">
        <f t="shared" ca="1" si="2"/>
        <v>NO</v>
      </c>
      <c r="O62" s="38">
        <f t="shared" ca="1" si="3"/>
        <v>43</v>
      </c>
      <c r="P62" s="39" t="str">
        <f t="shared" ca="1" si="4"/>
        <v>CALIBRADO</v>
      </c>
      <c r="Q62" s="86" t="s">
        <v>455</v>
      </c>
      <c r="R62" t="s">
        <v>476</v>
      </c>
    </row>
    <row r="63" spans="1:18" x14ac:dyDescent="0.3">
      <c r="A63" s="102" t="s">
        <v>35</v>
      </c>
      <c r="B63" s="102" t="s">
        <v>58</v>
      </c>
      <c r="C63" s="102" t="s">
        <v>82</v>
      </c>
      <c r="D63" s="108" t="s">
        <v>128</v>
      </c>
      <c r="E63" s="94" t="s">
        <v>495</v>
      </c>
      <c r="F63" s="122">
        <f t="shared" si="0"/>
        <v>44000</v>
      </c>
      <c r="G63" s="100">
        <v>44365</v>
      </c>
      <c r="H63" s="101" t="s">
        <v>28</v>
      </c>
      <c r="I63" s="101" t="s">
        <v>19</v>
      </c>
      <c r="J63" s="102" t="s">
        <v>46</v>
      </c>
      <c r="K63" s="103">
        <v>44270</v>
      </c>
      <c r="L63" s="98" t="s">
        <v>313</v>
      </c>
      <c r="M63" s="109">
        <f t="shared" ca="1" si="5"/>
        <v>44322</v>
      </c>
      <c r="N63" s="110" t="str">
        <f t="shared" ca="1" si="2"/>
        <v>NO</v>
      </c>
      <c r="O63" s="111">
        <f t="shared" ca="1" si="3"/>
        <v>43</v>
      </c>
      <c r="P63" s="112" t="str">
        <f t="shared" ca="1" si="4"/>
        <v>CALIBRADO</v>
      </c>
      <c r="Q63" s="92" t="s">
        <v>454</v>
      </c>
      <c r="R63" s="114" t="s">
        <v>499</v>
      </c>
    </row>
    <row r="64" spans="1:18" x14ac:dyDescent="0.3">
      <c r="A64" t="s">
        <v>35</v>
      </c>
      <c r="B64" t="s">
        <v>58</v>
      </c>
      <c r="C64" t="s">
        <v>82</v>
      </c>
      <c r="D64" s="8" t="s">
        <v>85</v>
      </c>
      <c r="E64" s="10" t="s">
        <v>135</v>
      </c>
      <c r="F64" s="119">
        <f t="shared" si="0"/>
        <v>44034</v>
      </c>
      <c r="G64" s="4">
        <v>44399</v>
      </c>
      <c r="H64" s="2" t="s">
        <v>28</v>
      </c>
      <c r="I64" s="2" t="s">
        <v>19</v>
      </c>
      <c r="J64" t="s">
        <v>46</v>
      </c>
      <c r="K64" s="7">
        <v>44270</v>
      </c>
      <c r="L64" s="3" t="s">
        <v>313</v>
      </c>
      <c r="M64" s="36">
        <f t="shared" ca="1" si="5"/>
        <v>44322</v>
      </c>
      <c r="N64" s="37" t="str">
        <f t="shared" ca="1" si="2"/>
        <v>NO</v>
      </c>
      <c r="O64" s="38">
        <f t="shared" ca="1" si="3"/>
        <v>77</v>
      </c>
      <c r="P64" s="39" t="str">
        <f t="shared" ca="1" si="4"/>
        <v>CALIBRADO</v>
      </c>
      <c r="Q64" t="s">
        <v>348</v>
      </c>
      <c r="R64" s="90" t="s">
        <v>457</v>
      </c>
    </row>
    <row r="65" spans="1:18" x14ac:dyDescent="0.3">
      <c r="A65" t="s">
        <v>35</v>
      </c>
      <c r="B65" t="s">
        <v>58</v>
      </c>
      <c r="C65" t="s">
        <v>64</v>
      </c>
      <c r="D65" s="8" t="s">
        <v>155</v>
      </c>
      <c r="E65" s="10">
        <v>594318</v>
      </c>
      <c r="F65" s="119">
        <f t="shared" si="0"/>
        <v>44048</v>
      </c>
      <c r="G65" s="4">
        <v>44413</v>
      </c>
      <c r="H65" s="2" t="s">
        <v>28</v>
      </c>
      <c r="I65" s="2" t="s">
        <v>19</v>
      </c>
      <c r="J65" t="s">
        <v>46</v>
      </c>
      <c r="K65" s="7">
        <v>44270</v>
      </c>
      <c r="L65" s="3" t="s">
        <v>313</v>
      </c>
      <c r="M65" s="36">
        <f t="shared" ref="M65:M96" ca="1" si="6">TODAY()</f>
        <v>44322</v>
      </c>
      <c r="N65" s="37" t="str">
        <f t="shared" ref="N65:N128" ca="1" si="7">IF(P65="DESCALIBRADO","SI",IF(P65="CALIBRADO","NO",IF(P65="POR CALIBRAR","NO "," ")))</f>
        <v>NO</v>
      </c>
      <c r="O65" s="38">
        <f t="shared" ref="O65:O128" ca="1" si="8">+G65-M65</f>
        <v>91</v>
      </c>
      <c r="P65" s="39" t="str">
        <f t="shared" ref="P65:P128" ca="1" si="9">IF(G65="","",IF(G65-M65&gt;15,"CALIBRADO",IF(AND(G65-M65&lt;=15,G65-M65&gt;=0),"POR CALIBRAR","DESCALIBRADO")))</f>
        <v>CALIBRADO</v>
      </c>
      <c r="Q65" s="86" t="s">
        <v>462</v>
      </c>
      <c r="R65" t="s">
        <v>476</v>
      </c>
    </row>
    <row r="66" spans="1:18" x14ac:dyDescent="0.3">
      <c r="A66" t="s">
        <v>35</v>
      </c>
      <c r="B66" t="s">
        <v>58</v>
      </c>
      <c r="C66" t="s">
        <v>82</v>
      </c>
      <c r="D66" s="8" t="s">
        <v>127</v>
      </c>
      <c r="E66" s="10">
        <v>19011159</v>
      </c>
      <c r="F66" s="119">
        <f t="shared" ref="F66:F129" si="10">G66-365</f>
        <v>44049</v>
      </c>
      <c r="G66" s="4">
        <v>44414</v>
      </c>
      <c r="H66" s="2" t="s">
        <v>28</v>
      </c>
      <c r="I66" s="2" t="s">
        <v>19</v>
      </c>
      <c r="J66" t="s">
        <v>46</v>
      </c>
      <c r="K66" s="7">
        <v>44270</v>
      </c>
      <c r="L66" s="3" t="s">
        <v>313</v>
      </c>
      <c r="M66" s="36">
        <f t="shared" ca="1" si="6"/>
        <v>44322</v>
      </c>
      <c r="N66" s="37" t="str">
        <f t="shared" ca="1" si="7"/>
        <v>NO</v>
      </c>
      <c r="O66" s="38">
        <f t="shared" ca="1" si="8"/>
        <v>92</v>
      </c>
      <c r="P66" s="39" t="str">
        <f t="shared" ca="1" si="9"/>
        <v>CALIBRADO</v>
      </c>
      <c r="Q66" t="s">
        <v>348</v>
      </c>
    </row>
    <row r="67" spans="1:18" x14ac:dyDescent="0.3">
      <c r="A67" t="s">
        <v>35</v>
      </c>
      <c r="B67" t="s">
        <v>58</v>
      </c>
      <c r="C67" t="s">
        <v>82</v>
      </c>
      <c r="D67" s="8" t="s">
        <v>51</v>
      </c>
      <c r="E67" s="10">
        <v>10187</v>
      </c>
      <c r="F67" s="119">
        <f t="shared" si="10"/>
        <v>44053</v>
      </c>
      <c r="G67" s="4">
        <v>44418</v>
      </c>
      <c r="H67" s="2" t="s">
        <v>28</v>
      </c>
      <c r="I67" s="2" t="s">
        <v>19</v>
      </c>
      <c r="J67" t="s">
        <v>46</v>
      </c>
      <c r="K67" s="7">
        <v>44270</v>
      </c>
      <c r="L67" s="3" t="s">
        <v>313</v>
      </c>
      <c r="M67" s="36">
        <f t="shared" ca="1" si="6"/>
        <v>44322</v>
      </c>
      <c r="N67" s="37" t="str">
        <f t="shared" ca="1" si="7"/>
        <v>NO</v>
      </c>
      <c r="O67" s="38">
        <f t="shared" ca="1" si="8"/>
        <v>96</v>
      </c>
      <c r="P67" s="39" t="str">
        <f t="shared" ca="1" si="9"/>
        <v>CALIBRADO</v>
      </c>
      <c r="Q67" t="s">
        <v>348</v>
      </c>
    </row>
    <row r="68" spans="1:18" x14ac:dyDescent="0.3">
      <c r="A68" t="s">
        <v>35</v>
      </c>
      <c r="B68" t="s">
        <v>58</v>
      </c>
      <c r="C68" t="s">
        <v>64</v>
      </c>
      <c r="D68" s="8" t="s">
        <v>299</v>
      </c>
      <c r="E68" s="10" t="s">
        <v>300</v>
      </c>
      <c r="F68" s="119">
        <f t="shared" si="10"/>
        <v>44053</v>
      </c>
      <c r="G68" s="4">
        <v>44418</v>
      </c>
      <c r="H68" s="2" t="s">
        <v>28</v>
      </c>
      <c r="I68" s="2" t="s">
        <v>19</v>
      </c>
      <c r="J68" t="s">
        <v>46</v>
      </c>
      <c r="K68" s="7">
        <v>44270</v>
      </c>
      <c r="L68" s="3" t="s">
        <v>313</v>
      </c>
      <c r="M68" s="36">
        <f t="shared" ca="1" si="6"/>
        <v>44322</v>
      </c>
      <c r="N68" s="37" t="str">
        <f t="shared" ca="1" si="7"/>
        <v>NO</v>
      </c>
      <c r="O68" s="38">
        <f t="shared" ca="1" si="8"/>
        <v>96</v>
      </c>
      <c r="P68" s="39" t="str">
        <f t="shared" ca="1" si="9"/>
        <v>CALIBRADO</v>
      </c>
      <c r="Q68" t="s">
        <v>348</v>
      </c>
    </row>
    <row r="69" spans="1:18" x14ac:dyDescent="0.3">
      <c r="A69" t="s">
        <v>35</v>
      </c>
      <c r="B69" t="s">
        <v>58</v>
      </c>
      <c r="C69" t="s">
        <v>82</v>
      </c>
      <c r="D69" s="8" t="s">
        <v>133</v>
      </c>
      <c r="E69" s="10">
        <v>6003140404105</v>
      </c>
      <c r="F69" s="119">
        <f t="shared" si="10"/>
        <v>44064</v>
      </c>
      <c r="G69" s="4">
        <v>44429</v>
      </c>
      <c r="H69" s="2" t="s">
        <v>28</v>
      </c>
      <c r="I69" s="2" t="s">
        <v>19</v>
      </c>
      <c r="J69" t="s">
        <v>46</v>
      </c>
      <c r="K69" s="7">
        <v>44270</v>
      </c>
      <c r="L69" s="3" t="s">
        <v>313</v>
      </c>
      <c r="M69" s="36">
        <f t="shared" ca="1" si="6"/>
        <v>44322</v>
      </c>
      <c r="N69" s="37" t="str">
        <f t="shared" ca="1" si="7"/>
        <v>NO</v>
      </c>
      <c r="O69" s="38">
        <f t="shared" ca="1" si="8"/>
        <v>107</v>
      </c>
      <c r="P69" s="39" t="str">
        <f t="shared" ca="1" si="9"/>
        <v>CALIBRADO</v>
      </c>
      <c r="Q69" t="s">
        <v>348</v>
      </c>
    </row>
    <row r="70" spans="1:18" x14ac:dyDescent="0.3">
      <c r="A70" t="s">
        <v>35</v>
      </c>
      <c r="B70" t="s">
        <v>58</v>
      </c>
      <c r="C70" t="s">
        <v>64</v>
      </c>
      <c r="D70" s="8" t="s">
        <v>165</v>
      </c>
      <c r="E70" s="10" t="s">
        <v>166</v>
      </c>
      <c r="F70" s="119">
        <f t="shared" si="10"/>
        <v>44064</v>
      </c>
      <c r="G70" s="4">
        <v>44429</v>
      </c>
      <c r="H70" s="2" t="s">
        <v>28</v>
      </c>
      <c r="I70" s="2" t="s">
        <v>19</v>
      </c>
      <c r="J70" t="s">
        <v>46</v>
      </c>
      <c r="K70" s="7">
        <v>44270</v>
      </c>
      <c r="L70" s="3" t="s">
        <v>313</v>
      </c>
      <c r="M70" s="36">
        <f t="shared" ca="1" si="6"/>
        <v>44322</v>
      </c>
      <c r="N70" s="37" t="str">
        <f t="shared" ca="1" si="7"/>
        <v>NO</v>
      </c>
      <c r="O70" s="38">
        <f t="shared" ca="1" si="8"/>
        <v>107</v>
      </c>
      <c r="P70" s="39" t="str">
        <f t="shared" ca="1" si="9"/>
        <v>CALIBRADO</v>
      </c>
      <c r="Q70" t="s">
        <v>348</v>
      </c>
    </row>
    <row r="71" spans="1:18" x14ac:dyDescent="0.3">
      <c r="A71" t="s">
        <v>35</v>
      </c>
      <c r="B71" t="s">
        <v>58</v>
      </c>
      <c r="C71" t="s">
        <v>64</v>
      </c>
      <c r="D71" s="8" t="s">
        <v>148</v>
      </c>
      <c r="E71" s="10">
        <v>136</v>
      </c>
      <c r="F71" s="119">
        <f t="shared" si="10"/>
        <v>44065</v>
      </c>
      <c r="G71" s="4">
        <v>44430</v>
      </c>
      <c r="H71" s="2" t="s">
        <v>28</v>
      </c>
      <c r="I71" s="2" t="s">
        <v>19</v>
      </c>
      <c r="J71" t="s">
        <v>46</v>
      </c>
      <c r="K71" s="7">
        <v>44270</v>
      </c>
      <c r="L71" s="3" t="s">
        <v>313</v>
      </c>
      <c r="M71" s="36">
        <f t="shared" ca="1" si="6"/>
        <v>44322</v>
      </c>
      <c r="N71" s="37" t="str">
        <f t="shared" ca="1" si="7"/>
        <v>NO</v>
      </c>
      <c r="O71" s="38">
        <f t="shared" ca="1" si="8"/>
        <v>108</v>
      </c>
      <c r="P71" s="39" t="str">
        <f t="shared" ca="1" si="9"/>
        <v>CALIBRADO</v>
      </c>
      <c r="Q71" t="s">
        <v>348</v>
      </c>
    </row>
    <row r="72" spans="1:18" x14ac:dyDescent="0.3">
      <c r="A72" t="s">
        <v>35</v>
      </c>
      <c r="B72" t="s">
        <v>58</v>
      </c>
      <c r="C72" t="s">
        <v>64</v>
      </c>
      <c r="D72" s="8" t="s">
        <v>155</v>
      </c>
      <c r="E72" s="10">
        <v>706037</v>
      </c>
      <c r="F72" s="119">
        <f t="shared" si="10"/>
        <v>44071</v>
      </c>
      <c r="G72" s="4">
        <v>44436</v>
      </c>
      <c r="H72" s="2" t="s">
        <v>28</v>
      </c>
      <c r="I72" s="2" t="s">
        <v>19</v>
      </c>
      <c r="J72" t="s">
        <v>46</v>
      </c>
      <c r="K72" s="7">
        <v>44270</v>
      </c>
      <c r="L72" s="3" t="s">
        <v>313</v>
      </c>
      <c r="M72" s="36">
        <f t="shared" ca="1" si="6"/>
        <v>44322</v>
      </c>
      <c r="N72" s="37" t="str">
        <f t="shared" ca="1" si="7"/>
        <v>NO</v>
      </c>
      <c r="O72" s="38">
        <f t="shared" ca="1" si="8"/>
        <v>114</v>
      </c>
      <c r="P72" s="39" t="str">
        <f t="shared" ca="1" si="9"/>
        <v>CALIBRADO</v>
      </c>
      <c r="Q72" t="s">
        <v>348</v>
      </c>
    </row>
    <row r="73" spans="1:18" x14ac:dyDescent="0.3">
      <c r="A73" t="s">
        <v>35</v>
      </c>
      <c r="B73" t="s">
        <v>58</v>
      </c>
      <c r="C73" t="s">
        <v>82</v>
      </c>
      <c r="D73" s="8" t="s">
        <v>138</v>
      </c>
      <c r="E73" s="10" t="s">
        <v>139</v>
      </c>
      <c r="F73" s="119">
        <f t="shared" si="10"/>
        <v>44074</v>
      </c>
      <c r="G73" s="4">
        <v>44439</v>
      </c>
      <c r="H73" s="2" t="s">
        <v>28</v>
      </c>
      <c r="I73" s="2" t="s">
        <v>19</v>
      </c>
      <c r="J73" t="s">
        <v>46</v>
      </c>
      <c r="K73" s="7">
        <v>44270</v>
      </c>
      <c r="L73" s="3" t="s">
        <v>313</v>
      </c>
      <c r="M73" s="36">
        <f t="shared" ca="1" si="6"/>
        <v>44322</v>
      </c>
      <c r="N73" s="37" t="str">
        <f t="shared" ca="1" si="7"/>
        <v>NO</v>
      </c>
      <c r="O73" s="38">
        <f t="shared" ca="1" si="8"/>
        <v>117</v>
      </c>
      <c r="P73" s="39" t="str">
        <f t="shared" ca="1" si="9"/>
        <v>CALIBRADO</v>
      </c>
      <c r="Q73" t="s">
        <v>348</v>
      </c>
    </row>
    <row r="74" spans="1:18" x14ac:dyDescent="0.3">
      <c r="A74" t="s">
        <v>35</v>
      </c>
      <c r="B74" t="s">
        <v>58</v>
      </c>
      <c r="C74" t="s">
        <v>64</v>
      </c>
      <c r="D74" s="8" t="s">
        <v>157</v>
      </c>
      <c r="E74" s="10">
        <v>1203271</v>
      </c>
      <c r="F74" s="119">
        <f t="shared" si="10"/>
        <v>44089</v>
      </c>
      <c r="G74" s="4">
        <v>44454</v>
      </c>
      <c r="H74" s="2" t="s">
        <v>28</v>
      </c>
      <c r="I74" s="2" t="s">
        <v>19</v>
      </c>
      <c r="J74" t="s">
        <v>46</v>
      </c>
      <c r="K74" s="7">
        <v>44270</v>
      </c>
      <c r="L74" s="3" t="s">
        <v>313</v>
      </c>
      <c r="M74" s="36">
        <f t="shared" ca="1" si="6"/>
        <v>44322</v>
      </c>
      <c r="N74" s="37" t="str">
        <f t="shared" ca="1" si="7"/>
        <v>NO</v>
      </c>
      <c r="O74" s="38">
        <f t="shared" ca="1" si="8"/>
        <v>132</v>
      </c>
      <c r="P74" s="39" t="str">
        <f t="shared" ca="1" si="9"/>
        <v>CALIBRADO</v>
      </c>
      <c r="Q74" t="s">
        <v>348</v>
      </c>
    </row>
    <row r="75" spans="1:18" x14ac:dyDescent="0.3">
      <c r="A75" t="s">
        <v>35</v>
      </c>
      <c r="B75" t="s">
        <v>58</v>
      </c>
      <c r="C75" t="s">
        <v>64</v>
      </c>
      <c r="D75" s="8" t="s">
        <v>158</v>
      </c>
      <c r="E75" s="10">
        <v>1606165</v>
      </c>
      <c r="F75" s="119">
        <f t="shared" si="10"/>
        <v>44089</v>
      </c>
      <c r="G75" s="4">
        <v>44454</v>
      </c>
      <c r="H75" s="2" t="s">
        <v>28</v>
      </c>
      <c r="I75" s="2" t="s">
        <v>19</v>
      </c>
      <c r="J75" t="s">
        <v>46</v>
      </c>
      <c r="K75" s="7">
        <v>44270</v>
      </c>
      <c r="L75" s="3" t="s">
        <v>313</v>
      </c>
      <c r="M75" s="36">
        <f t="shared" ca="1" si="6"/>
        <v>44322</v>
      </c>
      <c r="N75" s="37" t="str">
        <f t="shared" ca="1" si="7"/>
        <v>NO</v>
      </c>
      <c r="O75" s="38">
        <f t="shared" ca="1" si="8"/>
        <v>132</v>
      </c>
      <c r="P75" s="39" t="str">
        <f t="shared" ca="1" si="9"/>
        <v>CALIBRADO</v>
      </c>
      <c r="Q75" s="86" t="s">
        <v>460</v>
      </c>
      <c r="R75" t="s">
        <v>476</v>
      </c>
    </row>
    <row r="76" spans="1:18" x14ac:dyDescent="0.3">
      <c r="A76" t="s">
        <v>35</v>
      </c>
      <c r="B76" t="s">
        <v>58</v>
      </c>
      <c r="C76" t="s">
        <v>82</v>
      </c>
      <c r="D76" s="8" t="s">
        <v>85</v>
      </c>
      <c r="E76" s="10" t="s">
        <v>134</v>
      </c>
      <c r="F76" s="119">
        <f t="shared" si="10"/>
        <v>44091</v>
      </c>
      <c r="G76" s="4">
        <v>44456</v>
      </c>
      <c r="H76" s="2" t="s">
        <v>28</v>
      </c>
      <c r="I76" s="2" t="s">
        <v>19</v>
      </c>
      <c r="J76" t="s">
        <v>46</v>
      </c>
      <c r="K76" s="7">
        <v>44270</v>
      </c>
      <c r="L76" s="3" t="s">
        <v>313</v>
      </c>
      <c r="M76" s="36">
        <f t="shared" ca="1" si="6"/>
        <v>44322</v>
      </c>
      <c r="N76" s="37" t="str">
        <f t="shared" ca="1" si="7"/>
        <v>NO</v>
      </c>
      <c r="O76" s="38">
        <f t="shared" ca="1" si="8"/>
        <v>134</v>
      </c>
      <c r="P76" s="39" t="str">
        <f t="shared" ca="1" si="9"/>
        <v>CALIBRADO</v>
      </c>
      <c r="Q76" s="86" t="s">
        <v>451</v>
      </c>
      <c r="R76" t="s">
        <v>476</v>
      </c>
    </row>
    <row r="77" spans="1:18" x14ac:dyDescent="0.3">
      <c r="A77" t="s">
        <v>35</v>
      </c>
      <c r="B77" t="s">
        <v>58</v>
      </c>
      <c r="C77" t="s">
        <v>64</v>
      </c>
      <c r="D77" s="8" t="s">
        <v>184</v>
      </c>
      <c r="E77" s="10">
        <v>6887</v>
      </c>
      <c r="F77" s="119">
        <f t="shared" si="10"/>
        <v>44091</v>
      </c>
      <c r="G77" s="4">
        <v>44456</v>
      </c>
      <c r="H77" s="2" t="s">
        <v>28</v>
      </c>
      <c r="I77" s="2" t="s">
        <v>19</v>
      </c>
      <c r="J77" t="s">
        <v>46</v>
      </c>
      <c r="K77" s="7">
        <v>44270</v>
      </c>
      <c r="L77" s="3" t="s">
        <v>313</v>
      </c>
      <c r="M77" s="36">
        <f t="shared" ca="1" si="6"/>
        <v>44322</v>
      </c>
      <c r="N77" s="37" t="str">
        <f t="shared" ca="1" si="7"/>
        <v>NO</v>
      </c>
      <c r="O77" s="38">
        <f t="shared" ca="1" si="8"/>
        <v>134</v>
      </c>
      <c r="P77" s="39" t="str">
        <f t="shared" ca="1" si="9"/>
        <v>CALIBRADO</v>
      </c>
      <c r="Q77" s="86" t="s">
        <v>465</v>
      </c>
      <c r="R77" t="s">
        <v>476</v>
      </c>
    </row>
    <row r="78" spans="1:18" x14ac:dyDescent="0.3">
      <c r="A78" t="s">
        <v>35</v>
      </c>
      <c r="B78" t="s">
        <v>58</v>
      </c>
      <c r="C78" t="s">
        <v>64</v>
      </c>
      <c r="D78" s="8" t="s">
        <v>128</v>
      </c>
      <c r="E78" s="10">
        <v>2727107323</v>
      </c>
      <c r="F78" s="119">
        <f t="shared" si="10"/>
        <v>44097</v>
      </c>
      <c r="G78" s="4">
        <v>44462</v>
      </c>
      <c r="H78" s="2" t="s">
        <v>28</v>
      </c>
      <c r="I78" s="2" t="s">
        <v>19</v>
      </c>
      <c r="J78" t="s">
        <v>46</v>
      </c>
      <c r="K78" s="7">
        <v>44270</v>
      </c>
      <c r="L78" s="3" t="s">
        <v>313</v>
      </c>
      <c r="M78" s="36">
        <f t="shared" ca="1" si="6"/>
        <v>44322</v>
      </c>
      <c r="N78" s="37" t="str">
        <f t="shared" ca="1" si="7"/>
        <v>NO</v>
      </c>
      <c r="O78" s="38">
        <f t="shared" ca="1" si="8"/>
        <v>140</v>
      </c>
      <c r="P78" s="39" t="str">
        <f t="shared" ca="1" si="9"/>
        <v>CALIBRADO</v>
      </c>
      <c r="Q78" t="s">
        <v>348</v>
      </c>
    </row>
    <row r="79" spans="1:18" x14ac:dyDescent="0.3">
      <c r="A79" t="s">
        <v>35</v>
      </c>
      <c r="B79" t="s">
        <v>58</v>
      </c>
      <c r="C79" t="s">
        <v>82</v>
      </c>
      <c r="D79" s="8" t="s">
        <v>184</v>
      </c>
      <c r="E79" s="10" t="s">
        <v>185</v>
      </c>
      <c r="F79" s="119">
        <f t="shared" si="10"/>
        <v>44097</v>
      </c>
      <c r="G79" s="4">
        <v>44462</v>
      </c>
      <c r="H79" s="2" t="s">
        <v>28</v>
      </c>
      <c r="I79" s="2" t="s">
        <v>19</v>
      </c>
      <c r="J79" t="s">
        <v>46</v>
      </c>
      <c r="K79" s="7">
        <v>44270</v>
      </c>
      <c r="L79" s="3" t="s">
        <v>313</v>
      </c>
      <c r="M79" s="36">
        <f t="shared" ca="1" si="6"/>
        <v>44322</v>
      </c>
      <c r="N79" s="37" t="str">
        <f t="shared" ca="1" si="7"/>
        <v>NO</v>
      </c>
      <c r="O79" s="38">
        <f t="shared" ca="1" si="8"/>
        <v>140</v>
      </c>
      <c r="P79" s="39" t="str">
        <f t="shared" ca="1" si="9"/>
        <v>CALIBRADO</v>
      </c>
      <c r="Q79" t="s">
        <v>348</v>
      </c>
    </row>
    <row r="80" spans="1:18" x14ac:dyDescent="0.3">
      <c r="A80" t="s">
        <v>35</v>
      </c>
      <c r="B80" t="s">
        <v>58</v>
      </c>
      <c r="C80" t="s">
        <v>64</v>
      </c>
      <c r="D80" s="8" t="s">
        <v>184</v>
      </c>
      <c r="E80" s="10">
        <v>6989</v>
      </c>
      <c r="F80" s="119">
        <f t="shared" si="10"/>
        <v>44104</v>
      </c>
      <c r="G80" s="4">
        <v>44469</v>
      </c>
      <c r="H80" s="2" t="s">
        <v>28</v>
      </c>
      <c r="I80" s="2" t="s">
        <v>19</v>
      </c>
      <c r="J80" t="s">
        <v>46</v>
      </c>
      <c r="K80" s="7">
        <v>44270</v>
      </c>
      <c r="L80" s="3" t="s">
        <v>313</v>
      </c>
      <c r="M80" s="36">
        <f t="shared" ca="1" si="6"/>
        <v>44322</v>
      </c>
      <c r="N80" s="37" t="str">
        <f t="shared" ca="1" si="7"/>
        <v>NO</v>
      </c>
      <c r="O80" s="38">
        <f t="shared" ca="1" si="8"/>
        <v>147</v>
      </c>
      <c r="P80" s="39" t="str">
        <f t="shared" ca="1" si="9"/>
        <v>CALIBRADO</v>
      </c>
      <c r="Q80" t="s">
        <v>348</v>
      </c>
    </row>
    <row r="81" spans="1:18" x14ac:dyDescent="0.3">
      <c r="A81" t="s">
        <v>35</v>
      </c>
      <c r="B81" t="s">
        <v>58</v>
      </c>
      <c r="C81" t="s">
        <v>64</v>
      </c>
      <c r="D81" s="8" t="s">
        <v>184</v>
      </c>
      <c r="E81" s="10">
        <v>30081</v>
      </c>
      <c r="F81" s="119">
        <f t="shared" si="10"/>
        <v>44105</v>
      </c>
      <c r="G81" s="4">
        <v>44470</v>
      </c>
      <c r="H81" s="2" t="s">
        <v>28</v>
      </c>
      <c r="I81" s="2" t="s">
        <v>19</v>
      </c>
      <c r="J81" t="s">
        <v>46</v>
      </c>
      <c r="K81" s="7">
        <v>44270</v>
      </c>
      <c r="L81" s="3" t="s">
        <v>313</v>
      </c>
      <c r="M81" s="36">
        <f t="shared" ca="1" si="6"/>
        <v>44322</v>
      </c>
      <c r="N81" s="37" t="str">
        <f t="shared" ca="1" si="7"/>
        <v>NO</v>
      </c>
      <c r="O81" s="38">
        <f t="shared" ca="1" si="8"/>
        <v>148</v>
      </c>
      <c r="P81" s="39" t="str">
        <f t="shared" ca="1" si="9"/>
        <v>CALIBRADO</v>
      </c>
      <c r="Q81" s="86" t="s">
        <v>461</v>
      </c>
      <c r="R81" t="s">
        <v>476</v>
      </c>
    </row>
    <row r="82" spans="1:18" x14ac:dyDescent="0.3">
      <c r="A82" t="s">
        <v>35</v>
      </c>
      <c r="B82" t="s">
        <v>58</v>
      </c>
      <c r="C82" t="s">
        <v>64</v>
      </c>
      <c r="D82" s="8" t="s">
        <v>184</v>
      </c>
      <c r="E82" s="10">
        <v>26857</v>
      </c>
      <c r="F82" s="119">
        <f t="shared" si="10"/>
        <v>44105</v>
      </c>
      <c r="G82" s="4">
        <v>44470</v>
      </c>
      <c r="H82" s="2" t="s">
        <v>28</v>
      </c>
      <c r="I82" s="2" t="s">
        <v>19</v>
      </c>
      <c r="J82" t="s">
        <v>46</v>
      </c>
      <c r="K82" s="7">
        <v>44270</v>
      </c>
      <c r="L82" s="3" t="s">
        <v>313</v>
      </c>
      <c r="M82" s="36">
        <f t="shared" ca="1" si="6"/>
        <v>44322</v>
      </c>
      <c r="N82" s="37" t="str">
        <f t="shared" ca="1" si="7"/>
        <v>NO</v>
      </c>
      <c r="O82" s="38">
        <f t="shared" ca="1" si="8"/>
        <v>148</v>
      </c>
      <c r="P82" s="39" t="str">
        <f t="shared" ca="1" si="9"/>
        <v>CALIBRADO</v>
      </c>
      <c r="Q82" s="86" t="s">
        <v>461</v>
      </c>
      <c r="R82" t="s">
        <v>476</v>
      </c>
    </row>
    <row r="83" spans="1:18" x14ac:dyDescent="0.3">
      <c r="A83" t="s">
        <v>35</v>
      </c>
      <c r="B83" t="s">
        <v>58</v>
      </c>
      <c r="C83" t="s">
        <v>82</v>
      </c>
      <c r="D83" s="8" t="s">
        <v>128</v>
      </c>
      <c r="E83" s="10">
        <v>2727106323</v>
      </c>
      <c r="F83" s="119">
        <f t="shared" si="10"/>
        <v>44107</v>
      </c>
      <c r="G83" s="4">
        <v>44472</v>
      </c>
      <c r="H83" s="2" t="s">
        <v>28</v>
      </c>
      <c r="I83" s="2" t="s">
        <v>19</v>
      </c>
      <c r="J83" t="s">
        <v>46</v>
      </c>
      <c r="K83" s="7">
        <v>44270</v>
      </c>
      <c r="L83" s="3" t="s">
        <v>313</v>
      </c>
      <c r="M83" s="36">
        <f t="shared" ca="1" si="6"/>
        <v>44322</v>
      </c>
      <c r="N83" s="37" t="str">
        <f t="shared" ca="1" si="7"/>
        <v>NO</v>
      </c>
      <c r="O83" s="38">
        <f t="shared" ca="1" si="8"/>
        <v>150</v>
      </c>
      <c r="P83" s="39" t="str">
        <f t="shared" ca="1" si="9"/>
        <v>CALIBRADO</v>
      </c>
      <c r="Q83" t="s">
        <v>348</v>
      </c>
    </row>
    <row r="84" spans="1:18" x14ac:dyDescent="0.3">
      <c r="A84" t="s">
        <v>35</v>
      </c>
      <c r="B84" t="s">
        <v>58</v>
      </c>
      <c r="C84" t="s">
        <v>64</v>
      </c>
      <c r="D84" s="8" t="s">
        <v>184</v>
      </c>
      <c r="E84" s="10">
        <v>1249</v>
      </c>
      <c r="F84" s="119">
        <f t="shared" si="10"/>
        <v>44107</v>
      </c>
      <c r="G84" s="4">
        <v>44472</v>
      </c>
      <c r="H84" s="2" t="s">
        <v>28</v>
      </c>
      <c r="I84" s="2" t="s">
        <v>19</v>
      </c>
      <c r="J84" t="s">
        <v>46</v>
      </c>
      <c r="K84" s="7">
        <v>44270</v>
      </c>
      <c r="L84" s="3" t="s">
        <v>313</v>
      </c>
      <c r="M84" s="36">
        <f t="shared" ca="1" si="6"/>
        <v>44322</v>
      </c>
      <c r="N84" s="37" t="str">
        <f t="shared" ca="1" si="7"/>
        <v>NO</v>
      </c>
      <c r="O84" s="38">
        <f t="shared" ca="1" si="8"/>
        <v>150</v>
      </c>
      <c r="P84" s="39" t="str">
        <f t="shared" ca="1" si="9"/>
        <v>CALIBRADO</v>
      </c>
      <c r="Q84" t="s">
        <v>348</v>
      </c>
    </row>
    <row r="85" spans="1:18" x14ac:dyDescent="0.3">
      <c r="A85" t="s">
        <v>35</v>
      </c>
      <c r="B85" t="s">
        <v>58</v>
      </c>
      <c r="C85" t="s">
        <v>82</v>
      </c>
      <c r="D85" s="8" t="s">
        <v>51</v>
      </c>
      <c r="E85" s="10" t="s">
        <v>142</v>
      </c>
      <c r="F85" s="119">
        <f t="shared" si="10"/>
        <v>44110</v>
      </c>
      <c r="G85" s="4">
        <v>44475</v>
      </c>
      <c r="H85" s="2" t="s">
        <v>28</v>
      </c>
      <c r="I85" s="2" t="s">
        <v>19</v>
      </c>
      <c r="J85" t="s">
        <v>46</v>
      </c>
      <c r="K85" s="7">
        <v>44270</v>
      </c>
      <c r="L85" s="3" t="s">
        <v>313</v>
      </c>
      <c r="M85" s="36">
        <f t="shared" ca="1" si="6"/>
        <v>44322</v>
      </c>
      <c r="N85" s="37" t="str">
        <f t="shared" ca="1" si="7"/>
        <v>NO</v>
      </c>
      <c r="O85" s="38">
        <f t="shared" ca="1" si="8"/>
        <v>153</v>
      </c>
      <c r="P85" s="39" t="str">
        <f t="shared" ca="1" si="9"/>
        <v>CALIBRADO</v>
      </c>
      <c r="Q85" t="s">
        <v>348</v>
      </c>
    </row>
    <row r="86" spans="1:18" x14ac:dyDescent="0.3">
      <c r="A86" t="s">
        <v>35</v>
      </c>
      <c r="B86" t="s">
        <v>58</v>
      </c>
      <c r="C86" t="s">
        <v>82</v>
      </c>
      <c r="D86" s="8" t="s">
        <v>138</v>
      </c>
      <c r="E86" s="10" t="s">
        <v>140</v>
      </c>
      <c r="F86" s="119">
        <f t="shared" si="10"/>
        <v>44111</v>
      </c>
      <c r="G86" s="4">
        <v>44476</v>
      </c>
      <c r="H86" s="2" t="s">
        <v>28</v>
      </c>
      <c r="I86" s="2" t="s">
        <v>19</v>
      </c>
      <c r="J86" t="s">
        <v>46</v>
      </c>
      <c r="K86" s="7">
        <v>44270</v>
      </c>
      <c r="L86" s="3" t="s">
        <v>313</v>
      </c>
      <c r="M86" s="36">
        <f t="shared" ca="1" si="6"/>
        <v>44322</v>
      </c>
      <c r="N86" s="37" t="str">
        <f t="shared" ca="1" si="7"/>
        <v>NO</v>
      </c>
      <c r="O86" s="38">
        <f t="shared" ca="1" si="8"/>
        <v>154</v>
      </c>
      <c r="P86" s="39" t="str">
        <f t="shared" ca="1" si="9"/>
        <v>CALIBRADO</v>
      </c>
      <c r="Q86" t="s">
        <v>348</v>
      </c>
    </row>
    <row r="87" spans="1:18" x14ac:dyDescent="0.3">
      <c r="A87" t="s">
        <v>35</v>
      </c>
      <c r="B87" t="s">
        <v>58</v>
      </c>
      <c r="C87" t="s">
        <v>64</v>
      </c>
      <c r="D87" s="8" t="s">
        <v>265</v>
      </c>
      <c r="E87" s="10">
        <v>19091902</v>
      </c>
      <c r="F87" s="119">
        <f t="shared" si="10"/>
        <v>44111</v>
      </c>
      <c r="G87" s="4">
        <v>44476</v>
      </c>
      <c r="H87" s="2" t="s">
        <v>28</v>
      </c>
      <c r="I87" s="2" t="s">
        <v>19</v>
      </c>
      <c r="J87" t="s">
        <v>46</v>
      </c>
      <c r="K87" s="7">
        <v>44270</v>
      </c>
      <c r="L87" s="3" t="s">
        <v>313</v>
      </c>
      <c r="M87" s="36">
        <f t="shared" ca="1" si="6"/>
        <v>44322</v>
      </c>
      <c r="N87" s="37" t="str">
        <f t="shared" ca="1" si="7"/>
        <v>NO</v>
      </c>
      <c r="O87" s="38">
        <f t="shared" ca="1" si="8"/>
        <v>154</v>
      </c>
      <c r="P87" s="39" t="str">
        <f t="shared" ca="1" si="9"/>
        <v>CALIBRADO</v>
      </c>
      <c r="Q87" t="s">
        <v>348</v>
      </c>
    </row>
    <row r="88" spans="1:18" x14ac:dyDescent="0.3">
      <c r="A88" t="s">
        <v>35</v>
      </c>
      <c r="B88" t="s">
        <v>58</v>
      </c>
      <c r="C88" t="s">
        <v>98</v>
      </c>
      <c r="D88" s="8" t="s">
        <v>41</v>
      </c>
      <c r="E88" s="10" t="s">
        <v>116</v>
      </c>
      <c r="F88" s="119">
        <f t="shared" si="10"/>
        <v>44114</v>
      </c>
      <c r="G88" s="4">
        <v>44479</v>
      </c>
      <c r="H88" s="2" t="s">
        <v>28</v>
      </c>
      <c r="I88" s="2" t="s">
        <v>19</v>
      </c>
      <c r="J88" t="s">
        <v>46</v>
      </c>
      <c r="K88" s="7">
        <v>44270</v>
      </c>
      <c r="L88" s="3" t="s">
        <v>313</v>
      </c>
      <c r="M88" s="36">
        <f t="shared" ca="1" si="6"/>
        <v>44322</v>
      </c>
      <c r="N88" s="37" t="str">
        <f t="shared" ca="1" si="7"/>
        <v>NO</v>
      </c>
      <c r="O88" s="38">
        <f t="shared" ca="1" si="8"/>
        <v>157</v>
      </c>
      <c r="P88" s="39" t="str">
        <f t="shared" ca="1" si="9"/>
        <v>CALIBRADO</v>
      </c>
      <c r="Q88" t="s">
        <v>348</v>
      </c>
    </row>
    <row r="89" spans="1:18" x14ac:dyDescent="0.3">
      <c r="A89" t="s">
        <v>35</v>
      </c>
      <c r="B89" t="s">
        <v>58</v>
      </c>
      <c r="C89" t="s">
        <v>98</v>
      </c>
      <c r="D89" s="8" t="s">
        <v>41</v>
      </c>
      <c r="E89" s="10" t="s">
        <v>117</v>
      </c>
      <c r="F89" s="119">
        <f t="shared" si="10"/>
        <v>44114</v>
      </c>
      <c r="G89" s="4">
        <v>44479</v>
      </c>
      <c r="H89" s="2" t="s">
        <v>28</v>
      </c>
      <c r="I89" s="2" t="s">
        <v>19</v>
      </c>
      <c r="J89" t="s">
        <v>46</v>
      </c>
      <c r="K89" s="7">
        <v>44270</v>
      </c>
      <c r="L89" s="3" t="s">
        <v>313</v>
      </c>
      <c r="M89" s="36">
        <f t="shared" ca="1" si="6"/>
        <v>44322</v>
      </c>
      <c r="N89" s="37" t="str">
        <f t="shared" ca="1" si="7"/>
        <v>NO</v>
      </c>
      <c r="O89" s="38">
        <f t="shared" ca="1" si="8"/>
        <v>157</v>
      </c>
      <c r="P89" s="39" t="str">
        <f t="shared" ca="1" si="9"/>
        <v>CALIBRADO</v>
      </c>
      <c r="Q89" t="s">
        <v>348</v>
      </c>
    </row>
    <row r="90" spans="1:18" x14ac:dyDescent="0.3">
      <c r="A90" t="s">
        <v>35</v>
      </c>
      <c r="B90" t="s">
        <v>58</v>
      </c>
      <c r="C90" t="s">
        <v>98</v>
      </c>
      <c r="D90" s="8" t="s">
        <v>41</v>
      </c>
      <c r="E90" s="10" t="s">
        <v>118</v>
      </c>
      <c r="F90" s="119">
        <f t="shared" si="10"/>
        <v>44114</v>
      </c>
      <c r="G90" s="4">
        <v>44479</v>
      </c>
      <c r="H90" s="2" t="s">
        <v>28</v>
      </c>
      <c r="I90" s="2" t="s">
        <v>19</v>
      </c>
      <c r="J90" t="s">
        <v>46</v>
      </c>
      <c r="K90" s="7">
        <v>44270</v>
      </c>
      <c r="L90" s="3" t="s">
        <v>313</v>
      </c>
      <c r="M90" s="36">
        <f t="shared" ca="1" si="6"/>
        <v>44322</v>
      </c>
      <c r="N90" s="37" t="str">
        <f t="shared" ca="1" si="7"/>
        <v>NO</v>
      </c>
      <c r="O90" s="38">
        <f t="shared" ca="1" si="8"/>
        <v>157</v>
      </c>
      <c r="P90" s="39" t="str">
        <f t="shared" ca="1" si="9"/>
        <v>CALIBRADO</v>
      </c>
      <c r="Q90" t="s">
        <v>348</v>
      </c>
    </row>
    <row r="91" spans="1:18" x14ac:dyDescent="0.3">
      <c r="A91" t="s">
        <v>35</v>
      </c>
      <c r="B91" t="s">
        <v>58</v>
      </c>
      <c r="C91" t="s">
        <v>98</v>
      </c>
      <c r="D91" s="8" t="s">
        <v>41</v>
      </c>
      <c r="E91" s="10" t="s">
        <v>119</v>
      </c>
      <c r="F91" s="119">
        <f t="shared" si="10"/>
        <v>44114</v>
      </c>
      <c r="G91" s="4">
        <v>44479</v>
      </c>
      <c r="H91" s="2" t="s">
        <v>28</v>
      </c>
      <c r="I91" s="2" t="s">
        <v>19</v>
      </c>
      <c r="J91" t="s">
        <v>46</v>
      </c>
      <c r="K91" s="7">
        <v>44270</v>
      </c>
      <c r="L91" s="3" t="s">
        <v>313</v>
      </c>
      <c r="M91" s="36">
        <f t="shared" ca="1" si="6"/>
        <v>44322</v>
      </c>
      <c r="N91" s="37" t="str">
        <f t="shared" ca="1" si="7"/>
        <v>NO</v>
      </c>
      <c r="O91" s="38">
        <f t="shared" ca="1" si="8"/>
        <v>157</v>
      </c>
      <c r="P91" s="39" t="str">
        <f t="shared" ca="1" si="9"/>
        <v>CALIBRADO</v>
      </c>
      <c r="Q91" t="s">
        <v>348</v>
      </c>
    </row>
    <row r="92" spans="1:18" x14ac:dyDescent="0.3">
      <c r="A92" t="s">
        <v>35</v>
      </c>
      <c r="B92" t="s">
        <v>58</v>
      </c>
      <c r="C92" t="s">
        <v>64</v>
      </c>
      <c r="D92" s="8" t="s">
        <v>85</v>
      </c>
      <c r="E92" s="10">
        <v>6601651550479400</v>
      </c>
      <c r="F92" s="119">
        <f t="shared" si="10"/>
        <v>44125</v>
      </c>
      <c r="G92" s="4">
        <v>44490</v>
      </c>
      <c r="H92" s="2" t="s">
        <v>28</v>
      </c>
      <c r="I92" s="2" t="s">
        <v>19</v>
      </c>
      <c r="J92" t="s">
        <v>46</v>
      </c>
      <c r="K92" s="7">
        <v>44270</v>
      </c>
      <c r="L92" s="3" t="s">
        <v>313</v>
      </c>
      <c r="M92" s="36">
        <f t="shared" ca="1" si="6"/>
        <v>44322</v>
      </c>
      <c r="N92" s="37" t="str">
        <f t="shared" ca="1" si="7"/>
        <v>NO</v>
      </c>
      <c r="O92" s="38">
        <f t="shared" ca="1" si="8"/>
        <v>168</v>
      </c>
      <c r="P92" s="39" t="str">
        <f t="shared" ca="1" si="9"/>
        <v>CALIBRADO</v>
      </c>
      <c r="Q92" t="s">
        <v>348</v>
      </c>
    </row>
    <row r="93" spans="1:18" x14ac:dyDescent="0.3">
      <c r="A93" t="s">
        <v>35</v>
      </c>
      <c r="B93" t="s">
        <v>58</v>
      </c>
      <c r="C93" t="s">
        <v>98</v>
      </c>
      <c r="D93" s="8" t="s">
        <v>41</v>
      </c>
      <c r="E93" s="10">
        <v>7350082</v>
      </c>
      <c r="F93" s="119">
        <f t="shared" si="10"/>
        <v>44147</v>
      </c>
      <c r="G93" s="4">
        <v>44512</v>
      </c>
      <c r="H93" s="2" t="s">
        <v>28</v>
      </c>
      <c r="I93" s="2" t="s">
        <v>19</v>
      </c>
      <c r="J93" t="s">
        <v>46</v>
      </c>
      <c r="K93" s="7">
        <v>44270</v>
      </c>
      <c r="L93" s="3" t="s">
        <v>313</v>
      </c>
      <c r="M93" s="36">
        <f t="shared" ca="1" si="6"/>
        <v>44322</v>
      </c>
      <c r="N93" s="37" t="str">
        <f t="shared" ca="1" si="7"/>
        <v>NO</v>
      </c>
      <c r="O93" s="38">
        <f t="shared" ca="1" si="8"/>
        <v>190</v>
      </c>
      <c r="P93" s="39" t="str">
        <f t="shared" ca="1" si="9"/>
        <v>CALIBRADO</v>
      </c>
      <c r="Q93" t="s">
        <v>348</v>
      </c>
    </row>
    <row r="94" spans="1:18" x14ac:dyDescent="0.3">
      <c r="A94" t="s">
        <v>35</v>
      </c>
      <c r="B94" t="s">
        <v>58</v>
      </c>
      <c r="C94" t="s">
        <v>98</v>
      </c>
      <c r="D94" s="8" t="s">
        <v>41</v>
      </c>
      <c r="E94" s="10" t="s">
        <v>115</v>
      </c>
      <c r="F94" s="119">
        <f t="shared" si="10"/>
        <v>44147</v>
      </c>
      <c r="G94" s="4">
        <v>44512</v>
      </c>
      <c r="H94" s="2" t="s">
        <v>28</v>
      </c>
      <c r="I94" s="2" t="s">
        <v>19</v>
      </c>
      <c r="J94" t="s">
        <v>46</v>
      </c>
      <c r="K94" s="7">
        <v>44270</v>
      </c>
      <c r="L94" s="3" t="s">
        <v>313</v>
      </c>
      <c r="M94" s="36">
        <f t="shared" ca="1" si="6"/>
        <v>44322</v>
      </c>
      <c r="N94" s="37" t="str">
        <f t="shared" ca="1" si="7"/>
        <v>NO</v>
      </c>
      <c r="O94" s="38">
        <f t="shared" ca="1" si="8"/>
        <v>190</v>
      </c>
      <c r="P94" s="39" t="str">
        <f t="shared" ca="1" si="9"/>
        <v>CALIBRADO</v>
      </c>
      <c r="Q94" t="s">
        <v>348</v>
      </c>
    </row>
    <row r="95" spans="1:18" x14ac:dyDescent="0.3">
      <c r="A95" t="s">
        <v>35</v>
      </c>
      <c r="B95" t="s">
        <v>58</v>
      </c>
      <c r="C95" t="s">
        <v>98</v>
      </c>
      <c r="D95" s="8" t="s">
        <v>41</v>
      </c>
      <c r="E95" s="10" t="s">
        <v>120</v>
      </c>
      <c r="F95" s="119">
        <f t="shared" si="10"/>
        <v>44147</v>
      </c>
      <c r="G95" s="4">
        <v>44512</v>
      </c>
      <c r="H95" s="2" t="s">
        <v>28</v>
      </c>
      <c r="I95" s="2" t="s">
        <v>19</v>
      </c>
      <c r="J95" t="s">
        <v>46</v>
      </c>
      <c r="K95" s="7">
        <v>44270</v>
      </c>
      <c r="L95" s="3" t="s">
        <v>313</v>
      </c>
      <c r="M95" s="36">
        <f t="shared" ca="1" si="6"/>
        <v>44322</v>
      </c>
      <c r="N95" s="37" t="str">
        <f t="shared" ca="1" si="7"/>
        <v>NO</v>
      </c>
      <c r="O95" s="38">
        <f t="shared" ca="1" si="8"/>
        <v>190</v>
      </c>
      <c r="P95" s="39" t="str">
        <f t="shared" ca="1" si="9"/>
        <v>CALIBRADO</v>
      </c>
      <c r="Q95" t="s">
        <v>348</v>
      </c>
    </row>
    <row r="96" spans="1:18" x14ac:dyDescent="0.3">
      <c r="A96" t="s">
        <v>35</v>
      </c>
      <c r="B96" t="s">
        <v>58</v>
      </c>
      <c r="C96" t="s">
        <v>98</v>
      </c>
      <c r="D96" s="8" t="s">
        <v>41</v>
      </c>
      <c r="E96" s="10" t="s">
        <v>121</v>
      </c>
      <c r="F96" s="119">
        <f t="shared" si="10"/>
        <v>44147</v>
      </c>
      <c r="G96" s="4">
        <v>44512</v>
      </c>
      <c r="H96" s="2" t="s">
        <v>28</v>
      </c>
      <c r="I96" s="2" t="s">
        <v>19</v>
      </c>
      <c r="J96" t="s">
        <v>46</v>
      </c>
      <c r="K96" s="7">
        <v>44270</v>
      </c>
      <c r="L96" s="3" t="s">
        <v>313</v>
      </c>
      <c r="M96" s="36">
        <f t="shared" ca="1" si="6"/>
        <v>44322</v>
      </c>
      <c r="N96" s="37" t="str">
        <f t="shared" ca="1" si="7"/>
        <v>NO</v>
      </c>
      <c r="O96" s="38">
        <f t="shared" ca="1" si="8"/>
        <v>190</v>
      </c>
      <c r="P96" s="39" t="str">
        <f t="shared" ca="1" si="9"/>
        <v>CALIBRADO</v>
      </c>
      <c r="Q96" t="s">
        <v>348</v>
      </c>
    </row>
    <row r="97" spans="1:18" x14ac:dyDescent="0.3">
      <c r="A97" t="s">
        <v>35</v>
      </c>
      <c r="B97" t="s">
        <v>58</v>
      </c>
      <c r="C97" t="s">
        <v>98</v>
      </c>
      <c r="D97" s="8" t="s">
        <v>41</v>
      </c>
      <c r="E97" s="10" t="s">
        <v>122</v>
      </c>
      <c r="F97" s="119">
        <f t="shared" si="10"/>
        <v>44147</v>
      </c>
      <c r="G97" s="4">
        <v>44512</v>
      </c>
      <c r="H97" s="2" t="s">
        <v>28</v>
      </c>
      <c r="I97" s="2" t="s">
        <v>19</v>
      </c>
      <c r="J97" t="s">
        <v>46</v>
      </c>
      <c r="K97" s="7">
        <v>44270</v>
      </c>
      <c r="L97" s="3" t="s">
        <v>313</v>
      </c>
      <c r="M97" s="36">
        <f t="shared" ref="M97:M105" ca="1" si="11">TODAY()</f>
        <v>44322</v>
      </c>
      <c r="N97" s="37" t="str">
        <f t="shared" ca="1" si="7"/>
        <v>NO</v>
      </c>
      <c r="O97" s="38">
        <f t="shared" ca="1" si="8"/>
        <v>190</v>
      </c>
      <c r="P97" s="39" t="str">
        <f t="shared" ca="1" si="9"/>
        <v>CALIBRADO</v>
      </c>
      <c r="Q97" t="s">
        <v>348</v>
      </c>
    </row>
    <row r="98" spans="1:18" x14ac:dyDescent="0.3">
      <c r="A98" t="s">
        <v>35</v>
      </c>
      <c r="B98" t="s">
        <v>58</v>
      </c>
      <c r="C98" t="s">
        <v>98</v>
      </c>
      <c r="D98" s="8" t="s">
        <v>41</v>
      </c>
      <c r="E98" s="10" t="s">
        <v>123</v>
      </c>
      <c r="F98" s="119">
        <f t="shared" si="10"/>
        <v>44147</v>
      </c>
      <c r="G98" s="4">
        <v>44512</v>
      </c>
      <c r="H98" s="2" t="s">
        <v>28</v>
      </c>
      <c r="I98" s="2" t="s">
        <v>19</v>
      </c>
      <c r="J98" t="s">
        <v>46</v>
      </c>
      <c r="K98" s="7">
        <v>44270</v>
      </c>
      <c r="L98" s="3" t="s">
        <v>313</v>
      </c>
      <c r="M98" s="36">
        <f t="shared" ca="1" si="11"/>
        <v>44322</v>
      </c>
      <c r="N98" s="37" t="str">
        <f t="shared" ca="1" si="7"/>
        <v>NO</v>
      </c>
      <c r="O98" s="38">
        <f t="shared" ca="1" si="8"/>
        <v>190</v>
      </c>
      <c r="P98" s="39" t="str">
        <f t="shared" ca="1" si="9"/>
        <v>CALIBRADO</v>
      </c>
      <c r="Q98" t="s">
        <v>348</v>
      </c>
    </row>
    <row r="99" spans="1:18" x14ac:dyDescent="0.3">
      <c r="A99" t="s">
        <v>35</v>
      </c>
      <c r="B99" t="s">
        <v>58</v>
      </c>
      <c r="C99" t="s">
        <v>98</v>
      </c>
      <c r="D99" s="8" t="s">
        <v>41</v>
      </c>
      <c r="E99" s="10" t="s">
        <v>124</v>
      </c>
      <c r="F99" s="119">
        <f t="shared" si="10"/>
        <v>44147</v>
      </c>
      <c r="G99" s="4">
        <v>44512</v>
      </c>
      <c r="H99" s="2" t="s">
        <v>28</v>
      </c>
      <c r="I99" s="2" t="s">
        <v>19</v>
      </c>
      <c r="J99" t="s">
        <v>46</v>
      </c>
      <c r="K99" s="7">
        <v>44270</v>
      </c>
      <c r="L99" s="3" t="s">
        <v>313</v>
      </c>
      <c r="M99" s="36">
        <f t="shared" ca="1" si="11"/>
        <v>44322</v>
      </c>
      <c r="N99" s="37" t="str">
        <f t="shared" ca="1" si="7"/>
        <v>NO</v>
      </c>
      <c r="O99" s="38">
        <f t="shared" ca="1" si="8"/>
        <v>190</v>
      </c>
      <c r="P99" s="39" t="str">
        <f t="shared" ca="1" si="9"/>
        <v>CALIBRADO</v>
      </c>
      <c r="Q99" t="s">
        <v>348</v>
      </c>
    </row>
    <row r="100" spans="1:18" x14ac:dyDescent="0.3">
      <c r="A100" t="s">
        <v>35</v>
      </c>
      <c r="B100" t="s">
        <v>58</v>
      </c>
      <c r="C100" t="s">
        <v>64</v>
      </c>
      <c r="D100" s="8" t="s">
        <v>159</v>
      </c>
      <c r="E100" s="10">
        <v>18082725</v>
      </c>
      <c r="F100" s="119">
        <f t="shared" si="10"/>
        <v>44155</v>
      </c>
      <c r="G100" s="4">
        <v>44520</v>
      </c>
      <c r="H100" s="2" t="s">
        <v>28</v>
      </c>
      <c r="I100" s="2" t="s">
        <v>19</v>
      </c>
      <c r="J100" t="s">
        <v>46</v>
      </c>
      <c r="K100" s="7">
        <v>44270</v>
      </c>
      <c r="L100" s="3" t="s">
        <v>313</v>
      </c>
      <c r="M100" s="36">
        <f t="shared" ca="1" si="11"/>
        <v>44322</v>
      </c>
      <c r="N100" s="37" t="str">
        <f t="shared" ca="1" si="7"/>
        <v>NO</v>
      </c>
      <c r="O100" s="38">
        <f t="shared" ca="1" si="8"/>
        <v>198</v>
      </c>
      <c r="P100" s="39" t="str">
        <f t="shared" ca="1" si="9"/>
        <v>CALIBRADO</v>
      </c>
      <c r="Q100" t="s">
        <v>348</v>
      </c>
    </row>
    <row r="101" spans="1:18" x14ac:dyDescent="0.3">
      <c r="A101" t="s">
        <v>35</v>
      </c>
      <c r="B101" t="s">
        <v>58</v>
      </c>
      <c r="C101" t="s">
        <v>82</v>
      </c>
      <c r="D101" s="8" t="s">
        <v>85</v>
      </c>
      <c r="E101" s="10">
        <v>1709180323</v>
      </c>
      <c r="F101" s="119">
        <f t="shared" si="10"/>
        <v>44156</v>
      </c>
      <c r="G101" s="4">
        <v>44521</v>
      </c>
      <c r="H101" s="2" t="s">
        <v>28</v>
      </c>
      <c r="I101" s="2" t="s">
        <v>19</v>
      </c>
      <c r="J101" t="s">
        <v>46</v>
      </c>
      <c r="K101" s="7">
        <v>44270</v>
      </c>
      <c r="L101" s="3" t="s">
        <v>313</v>
      </c>
      <c r="M101" s="36">
        <f t="shared" ca="1" si="11"/>
        <v>44322</v>
      </c>
      <c r="N101" s="37" t="str">
        <f t="shared" ca="1" si="7"/>
        <v>NO</v>
      </c>
      <c r="O101" s="38">
        <f t="shared" ca="1" si="8"/>
        <v>199</v>
      </c>
      <c r="P101" s="39" t="str">
        <f t="shared" ca="1" si="9"/>
        <v>CALIBRADO</v>
      </c>
      <c r="Q101" t="s">
        <v>348</v>
      </c>
    </row>
    <row r="102" spans="1:18" x14ac:dyDescent="0.3">
      <c r="A102" t="s">
        <v>35</v>
      </c>
      <c r="B102" t="s">
        <v>58</v>
      </c>
      <c r="C102" t="s">
        <v>82</v>
      </c>
      <c r="D102" s="8" t="s">
        <v>129</v>
      </c>
      <c r="E102" s="10">
        <v>40408305609</v>
      </c>
      <c r="F102" s="119">
        <f t="shared" si="10"/>
        <v>44160</v>
      </c>
      <c r="G102" s="4">
        <v>44525</v>
      </c>
      <c r="H102" s="2" t="s">
        <v>28</v>
      </c>
      <c r="I102" s="2" t="s">
        <v>19</v>
      </c>
      <c r="J102" t="s">
        <v>46</v>
      </c>
      <c r="K102" s="7">
        <v>44270</v>
      </c>
      <c r="L102" s="3" t="s">
        <v>313</v>
      </c>
      <c r="M102" s="36">
        <f t="shared" ca="1" si="11"/>
        <v>44322</v>
      </c>
      <c r="N102" s="37" t="str">
        <f t="shared" ca="1" si="7"/>
        <v>NO</v>
      </c>
      <c r="O102" s="38">
        <f t="shared" ca="1" si="8"/>
        <v>203</v>
      </c>
      <c r="P102" s="39" t="str">
        <f t="shared" ca="1" si="9"/>
        <v>CALIBRADO</v>
      </c>
      <c r="Q102" t="s">
        <v>348</v>
      </c>
    </row>
    <row r="103" spans="1:18" x14ac:dyDescent="0.3">
      <c r="A103" t="s">
        <v>35</v>
      </c>
      <c r="B103" t="s">
        <v>58</v>
      </c>
      <c r="C103" t="s">
        <v>64</v>
      </c>
      <c r="D103" s="8" t="s">
        <v>162</v>
      </c>
      <c r="E103" s="10" t="s">
        <v>164</v>
      </c>
      <c r="F103" s="119">
        <f t="shared" si="10"/>
        <v>44160</v>
      </c>
      <c r="G103" s="4">
        <v>44525</v>
      </c>
      <c r="H103" s="2" t="s">
        <v>28</v>
      </c>
      <c r="I103" s="2" t="s">
        <v>19</v>
      </c>
      <c r="J103" t="s">
        <v>46</v>
      </c>
      <c r="K103" s="7">
        <v>44270</v>
      </c>
      <c r="L103" s="3" t="s">
        <v>313</v>
      </c>
      <c r="M103" s="36">
        <f t="shared" ca="1" si="11"/>
        <v>44322</v>
      </c>
      <c r="N103" s="37" t="str">
        <f t="shared" ca="1" si="7"/>
        <v>NO</v>
      </c>
      <c r="O103" s="38">
        <f t="shared" ca="1" si="8"/>
        <v>203</v>
      </c>
      <c r="P103" s="39" t="str">
        <f t="shared" ca="1" si="9"/>
        <v>CALIBRADO</v>
      </c>
      <c r="Q103" t="s">
        <v>348</v>
      </c>
    </row>
    <row r="104" spans="1:18" x14ac:dyDescent="0.3">
      <c r="A104" t="s">
        <v>35</v>
      </c>
      <c r="B104" t="s">
        <v>58</v>
      </c>
      <c r="C104" t="s">
        <v>82</v>
      </c>
      <c r="D104" s="8" t="s">
        <v>85</v>
      </c>
      <c r="E104" s="10" t="s">
        <v>145</v>
      </c>
      <c r="F104" s="119">
        <v>44255</v>
      </c>
      <c r="G104" s="4">
        <v>44985</v>
      </c>
      <c r="H104" s="2" t="s">
        <v>28</v>
      </c>
      <c r="I104" s="2" t="s">
        <v>19</v>
      </c>
      <c r="J104" t="s">
        <v>46</v>
      </c>
      <c r="K104" s="7">
        <v>44270</v>
      </c>
      <c r="L104" s="3" t="s">
        <v>313</v>
      </c>
      <c r="M104" s="36">
        <f t="shared" ca="1" si="11"/>
        <v>44322</v>
      </c>
      <c r="N104" s="37" t="str">
        <f t="shared" ca="1" si="7"/>
        <v>NO</v>
      </c>
      <c r="O104" s="38">
        <f t="shared" ca="1" si="8"/>
        <v>663</v>
      </c>
      <c r="P104" s="39" t="str">
        <f t="shared" ca="1" si="9"/>
        <v>CALIBRADO</v>
      </c>
      <c r="Q104" t="s">
        <v>348</v>
      </c>
    </row>
    <row r="105" spans="1:18" x14ac:dyDescent="0.3">
      <c r="A105" t="s">
        <v>35</v>
      </c>
      <c r="B105" t="s">
        <v>58</v>
      </c>
      <c r="C105" t="s">
        <v>82</v>
      </c>
      <c r="D105" s="8" t="s">
        <v>127</v>
      </c>
      <c r="E105" s="10">
        <v>18060435</v>
      </c>
      <c r="F105" s="119">
        <f t="shared" si="10"/>
        <v>43910</v>
      </c>
      <c r="G105" s="4">
        <v>44275</v>
      </c>
      <c r="H105" s="2" t="s">
        <v>28</v>
      </c>
      <c r="I105" s="2" t="s">
        <v>19</v>
      </c>
      <c r="J105" t="s">
        <v>46</v>
      </c>
      <c r="K105" s="7">
        <v>44270</v>
      </c>
      <c r="L105" s="3" t="s">
        <v>313</v>
      </c>
      <c r="M105" s="36">
        <f t="shared" ca="1" si="11"/>
        <v>44322</v>
      </c>
      <c r="N105" s="37" t="str">
        <f t="shared" ca="1" si="7"/>
        <v>SI</v>
      </c>
      <c r="O105" s="38">
        <f t="shared" ca="1" si="8"/>
        <v>-47</v>
      </c>
      <c r="P105" s="39" t="str">
        <f t="shared" ca="1" si="9"/>
        <v>DESCALIBRADO</v>
      </c>
      <c r="Q105" t="s">
        <v>348</v>
      </c>
    </row>
    <row r="106" spans="1:18" x14ac:dyDescent="0.3">
      <c r="A106" t="s">
        <v>47</v>
      </c>
      <c r="B106" t="s">
        <v>71</v>
      </c>
      <c r="C106" t="s">
        <v>64</v>
      </c>
      <c r="D106" s="8" t="s">
        <v>22</v>
      </c>
      <c r="E106" s="10" t="s">
        <v>171</v>
      </c>
      <c r="F106" s="119">
        <f t="shared" si="10"/>
        <v>43910</v>
      </c>
      <c r="G106" s="4">
        <v>44275</v>
      </c>
      <c r="H106" s="2" t="s">
        <v>28</v>
      </c>
      <c r="I106" s="2" t="s">
        <v>19</v>
      </c>
      <c r="J106" t="s">
        <v>46</v>
      </c>
      <c r="K106" s="7">
        <v>44270</v>
      </c>
      <c r="L106" s="3" t="s">
        <v>313</v>
      </c>
      <c r="M106" s="36">
        <f t="shared" ref="M106:M107" ca="1" si="12">TODAY()</f>
        <v>44322</v>
      </c>
      <c r="N106" s="37" t="str">
        <f t="shared" ca="1" si="7"/>
        <v>SI</v>
      </c>
      <c r="O106" s="38">
        <f t="shared" ca="1" si="8"/>
        <v>-47</v>
      </c>
      <c r="P106" s="39" t="str">
        <f t="shared" ca="1" si="9"/>
        <v>DESCALIBRADO</v>
      </c>
      <c r="Q106" t="s">
        <v>348</v>
      </c>
      <c r="R106" t="s">
        <v>429</v>
      </c>
    </row>
    <row r="107" spans="1:18" x14ac:dyDescent="0.3">
      <c r="A107" t="s">
        <v>47</v>
      </c>
      <c r="B107" t="s">
        <v>71</v>
      </c>
      <c r="C107" t="s">
        <v>64</v>
      </c>
      <c r="D107" s="8" t="s">
        <v>22</v>
      </c>
      <c r="E107" s="10">
        <v>6200822296</v>
      </c>
      <c r="F107" s="119">
        <f t="shared" si="10"/>
        <v>43998</v>
      </c>
      <c r="G107" s="4">
        <v>44363</v>
      </c>
      <c r="H107" s="2" t="s">
        <v>28</v>
      </c>
      <c r="I107" s="2" t="s">
        <v>19</v>
      </c>
      <c r="J107" t="s">
        <v>46</v>
      </c>
      <c r="K107" s="7">
        <v>44270</v>
      </c>
      <c r="L107" s="3" t="s">
        <v>313</v>
      </c>
      <c r="M107" s="36">
        <f t="shared" ca="1" si="12"/>
        <v>44322</v>
      </c>
      <c r="N107" s="37" t="str">
        <f t="shared" ca="1" si="7"/>
        <v>NO</v>
      </c>
      <c r="O107" s="38">
        <f t="shared" ca="1" si="8"/>
        <v>41</v>
      </c>
      <c r="P107" s="39" t="str">
        <f t="shared" ca="1" si="9"/>
        <v>CALIBRADO</v>
      </c>
      <c r="Q107" s="86" t="s">
        <v>430</v>
      </c>
      <c r="R107" t="s">
        <v>476</v>
      </c>
    </row>
    <row r="108" spans="1:18" x14ac:dyDescent="0.3">
      <c r="A108" s="102" t="s">
        <v>47</v>
      </c>
      <c r="B108" s="102" t="s">
        <v>71</v>
      </c>
      <c r="C108" s="102" t="s">
        <v>98</v>
      </c>
      <c r="D108" s="108" t="s">
        <v>66</v>
      </c>
      <c r="E108" s="64">
        <v>862572</v>
      </c>
      <c r="F108" s="121">
        <f t="shared" si="10"/>
        <v>44006</v>
      </c>
      <c r="G108" s="100">
        <v>44371</v>
      </c>
      <c r="H108" s="101" t="s">
        <v>28</v>
      </c>
      <c r="I108" s="101" t="s">
        <v>19</v>
      </c>
      <c r="J108" s="102" t="s">
        <v>46</v>
      </c>
      <c r="K108" s="103">
        <v>44270</v>
      </c>
      <c r="L108" s="98" t="s">
        <v>313</v>
      </c>
      <c r="M108" s="109">
        <f t="shared" ref="M108:M169" ca="1" si="13">TODAY()</f>
        <v>44322</v>
      </c>
      <c r="N108" s="110" t="str">
        <f t="shared" ca="1" si="7"/>
        <v>NO</v>
      </c>
      <c r="O108" s="111">
        <f t="shared" ca="1" si="8"/>
        <v>49</v>
      </c>
      <c r="P108" s="112" t="str">
        <f t="shared" ca="1" si="9"/>
        <v>CALIBRADO</v>
      </c>
      <c r="Q108" s="92" t="s">
        <v>420</v>
      </c>
      <c r="R108" s="114" t="s">
        <v>479</v>
      </c>
    </row>
    <row r="109" spans="1:18" x14ac:dyDescent="0.3">
      <c r="A109" t="s">
        <v>47</v>
      </c>
      <c r="B109" t="s">
        <v>71</v>
      </c>
      <c r="C109" t="s">
        <v>98</v>
      </c>
      <c r="D109" s="8" t="s">
        <v>66</v>
      </c>
      <c r="E109" s="10">
        <v>897218</v>
      </c>
      <c r="F109" s="119">
        <f t="shared" si="10"/>
        <v>44006</v>
      </c>
      <c r="G109" s="4">
        <v>44371</v>
      </c>
      <c r="H109" s="2" t="s">
        <v>28</v>
      </c>
      <c r="I109" s="2" t="s">
        <v>19</v>
      </c>
      <c r="J109" t="s">
        <v>46</v>
      </c>
      <c r="K109" s="7">
        <v>44270</v>
      </c>
      <c r="L109" s="3" t="s">
        <v>313</v>
      </c>
      <c r="M109" s="36">
        <f t="shared" ca="1" si="13"/>
        <v>44322</v>
      </c>
      <c r="N109" s="37" t="str">
        <f t="shared" ca="1" si="7"/>
        <v>NO</v>
      </c>
      <c r="O109" s="38">
        <f t="shared" ca="1" si="8"/>
        <v>49</v>
      </c>
      <c r="P109" s="39" t="str">
        <f t="shared" ca="1" si="9"/>
        <v>CALIBRADO</v>
      </c>
      <c r="Q109" t="s">
        <v>348</v>
      </c>
    </row>
    <row r="110" spans="1:18" x14ac:dyDescent="0.3">
      <c r="A110" s="102" t="s">
        <v>47</v>
      </c>
      <c r="B110" s="102" t="s">
        <v>71</v>
      </c>
      <c r="C110" s="102" t="s">
        <v>98</v>
      </c>
      <c r="D110" s="108" t="s">
        <v>66</v>
      </c>
      <c r="E110" s="64">
        <v>896770</v>
      </c>
      <c r="F110" s="121">
        <f t="shared" si="10"/>
        <v>44033</v>
      </c>
      <c r="G110" s="100">
        <v>44398</v>
      </c>
      <c r="H110" s="101" t="s">
        <v>28</v>
      </c>
      <c r="I110" s="101" t="s">
        <v>19</v>
      </c>
      <c r="J110" s="102" t="s">
        <v>46</v>
      </c>
      <c r="K110" s="103">
        <v>44270</v>
      </c>
      <c r="L110" s="98" t="s">
        <v>313</v>
      </c>
      <c r="M110" s="109">
        <f t="shared" ca="1" si="13"/>
        <v>44322</v>
      </c>
      <c r="N110" s="110" t="str">
        <f t="shared" ca="1" si="7"/>
        <v>NO</v>
      </c>
      <c r="O110" s="111">
        <f t="shared" ca="1" si="8"/>
        <v>76</v>
      </c>
      <c r="P110" s="112" t="str">
        <f t="shared" ca="1" si="9"/>
        <v>CALIBRADO</v>
      </c>
      <c r="Q110" s="92" t="s">
        <v>420</v>
      </c>
      <c r="R110" s="114" t="s">
        <v>479</v>
      </c>
    </row>
    <row r="111" spans="1:18" x14ac:dyDescent="0.3">
      <c r="A111" t="s">
        <v>47</v>
      </c>
      <c r="B111" t="s">
        <v>71</v>
      </c>
      <c r="C111" t="s">
        <v>82</v>
      </c>
      <c r="D111" s="8" t="s">
        <v>85</v>
      </c>
      <c r="E111" s="10" t="s">
        <v>170</v>
      </c>
      <c r="F111" s="119">
        <f t="shared" si="10"/>
        <v>44054</v>
      </c>
      <c r="G111" s="4">
        <v>44419</v>
      </c>
      <c r="H111" s="2" t="s">
        <v>28</v>
      </c>
      <c r="I111" s="2" t="s">
        <v>19</v>
      </c>
      <c r="J111" t="s">
        <v>46</v>
      </c>
      <c r="K111" s="7">
        <v>44270</v>
      </c>
      <c r="L111" s="3" t="s">
        <v>313</v>
      </c>
      <c r="M111" s="36">
        <f t="shared" ca="1" si="13"/>
        <v>44322</v>
      </c>
      <c r="N111" s="37" t="str">
        <f t="shared" ca="1" si="7"/>
        <v>NO</v>
      </c>
      <c r="O111" s="38">
        <f t="shared" ca="1" si="8"/>
        <v>97</v>
      </c>
      <c r="P111" s="39" t="str">
        <f t="shared" ca="1" si="9"/>
        <v>CALIBRADO</v>
      </c>
      <c r="Q111" t="s">
        <v>348</v>
      </c>
    </row>
    <row r="112" spans="1:18" x14ac:dyDescent="0.3">
      <c r="A112" t="s">
        <v>47</v>
      </c>
      <c r="B112" t="s">
        <v>71</v>
      </c>
      <c r="C112" t="s">
        <v>98</v>
      </c>
      <c r="D112" s="8" t="s">
        <v>66</v>
      </c>
      <c r="E112" s="10">
        <v>876488</v>
      </c>
      <c r="F112" s="119">
        <f t="shared" si="10"/>
        <v>44064</v>
      </c>
      <c r="G112" s="4">
        <v>44429</v>
      </c>
      <c r="H112" s="2" t="s">
        <v>28</v>
      </c>
      <c r="I112" s="2" t="s">
        <v>19</v>
      </c>
      <c r="J112" t="s">
        <v>46</v>
      </c>
      <c r="K112" s="7">
        <v>44270</v>
      </c>
      <c r="L112" s="3" t="s">
        <v>313</v>
      </c>
      <c r="M112" s="36">
        <f t="shared" ca="1" si="13"/>
        <v>44322</v>
      </c>
      <c r="N112" s="37" t="str">
        <f t="shared" ca="1" si="7"/>
        <v>NO</v>
      </c>
      <c r="O112" s="38">
        <f t="shared" ca="1" si="8"/>
        <v>107</v>
      </c>
      <c r="P112" s="39" t="str">
        <f t="shared" ca="1" si="9"/>
        <v>CALIBRADO</v>
      </c>
      <c r="Q112" s="86" t="s">
        <v>426</v>
      </c>
      <c r="R112" t="s">
        <v>476</v>
      </c>
    </row>
    <row r="113" spans="1:18" x14ac:dyDescent="0.3">
      <c r="A113" t="s">
        <v>47</v>
      </c>
      <c r="B113" t="s">
        <v>71</v>
      </c>
      <c r="C113" t="s">
        <v>98</v>
      </c>
      <c r="D113" s="8" t="s">
        <v>66</v>
      </c>
      <c r="E113" s="10">
        <v>881303</v>
      </c>
      <c r="F113" s="119">
        <f t="shared" si="10"/>
        <v>44076</v>
      </c>
      <c r="G113" s="4">
        <v>44441</v>
      </c>
      <c r="H113" s="2" t="s">
        <v>28</v>
      </c>
      <c r="I113" s="2" t="s">
        <v>19</v>
      </c>
      <c r="J113" t="s">
        <v>46</v>
      </c>
      <c r="K113" s="7">
        <v>44270</v>
      </c>
      <c r="L113" s="3" t="s">
        <v>313</v>
      </c>
      <c r="M113" s="36">
        <f t="shared" ca="1" si="13"/>
        <v>44322</v>
      </c>
      <c r="N113" s="37" t="str">
        <f t="shared" ca="1" si="7"/>
        <v>NO</v>
      </c>
      <c r="O113" s="38">
        <f t="shared" ca="1" si="8"/>
        <v>119</v>
      </c>
      <c r="P113" s="39" t="str">
        <f t="shared" ca="1" si="9"/>
        <v>CALIBRADO</v>
      </c>
      <c r="Q113" s="86" t="s">
        <v>428</v>
      </c>
      <c r="R113" t="s">
        <v>476</v>
      </c>
    </row>
    <row r="114" spans="1:18" x14ac:dyDescent="0.3">
      <c r="A114" t="s">
        <v>47</v>
      </c>
      <c r="B114" t="s">
        <v>71</v>
      </c>
      <c r="C114" t="s">
        <v>98</v>
      </c>
      <c r="D114" s="8" t="s">
        <v>66</v>
      </c>
      <c r="E114" s="10">
        <v>883043</v>
      </c>
      <c r="F114" s="119">
        <f t="shared" si="10"/>
        <v>44076</v>
      </c>
      <c r="G114" s="4">
        <v>44441</v>
      </c>
      <c r="H114" s="2" t="s">
        <v>28</v>
      </c>
      <c r="I114" s="2" t="s">
        <v>19</v>
      </c>
      <c r="J114" t="s">
        <v>46</v>
      </c>
      <c r="K114" s="7">
        <v>44270</v>
      </c>
      <c r="L114" s="3" t="s">
        <v>313</v>
      </c>
      <c r="M114" s="36">
        <f t="shared" ca="1" si="13"/>
        <v>44322</v>
      </c>
      <c r="N114" s="37" t="str">
        <f t="shared" ca="1" si="7"/>
        <v>NO</v>
      </c>
      <c r="O114" s="38">
        <f t="shared" ca="1" si="8"/>
        <v>119</v>
      </c>
      <c r="P114" s="39" t="str">
        <f t="shared" ca="1" si="9"/>
        <v>CALIBRADO</v>
      </c>
      <c r="Q114" t="s">
        <v>348</v>
      </c>
    </row>
    <row r="115" spans="1:18" x14ac:dyDescent="0.3">
      <c r="A115" t="s">
        <v>47</v>
      </c>
      <c r="B115" t="s">
        <v>71</v>
      </c>
      <c r="C115" t="s">
        <v>98</v>
      </c>
      <c r="D115" s="8" t="s">
        <v>66</v>
      </c>
      <c r="E115" s="10">
        <v>876493</v>
      </c>
      <c r="F115" s="119">
        <f t="shared" si="10"/>
        <v>44076</v>
      </c>
      <c r="G115" s="4">
        <v>44441</v>
      </c>
      <c r="H115" s="2" t="s">
        <v>28</v>
      </c>
      <c r="I115" s="2" t="s">
        <v>19</v>
      </c>
      <c r="J115" t="s">
        <v>46</v>
      </c>
      <c r="K115" s="7">
        <v>44270</v>
      </c>
      <c r="L115" s="3" t="s">
        <v>313</v>
      </c>
      <c r="M115" s="36">
        <f t="shared" ca="1" si="13"/>
        <v>44322</v>
      </c>
      <c r="N115" s="37" t="str">
        <f t="shared" ca="1" si="7"/>
        <v>NO</v>
      </c>
      <c r="O115" s="38">
        <f t="shared" ca="1" si="8"/>
        <v>119</v>
      </c>
      <c r="P115" s="39" t="str">
        <f t="shared" ca="1" si="9"/>
        <v>CALIBRADO</v>
      </c>
      <c r="Q115" s="86" t="s">
        <v>427</v>
      </c>
      <c r="R115" t="s">
        <v>476</v>
      </c>
    </row>
    <row r="116" spans="1:18" x14ac:dyDescent="0.3">
      <c r="A116" t="s">
        <v>47</v>
      </c>
      <c r="B116" t="s">
        <v>71</v>
      </c>
      <c r="C116" t="s">
        <v>82</v>
      </c>
      <c r="D116" s="8" t="s">
        <v>143</v>
      </c>
      <c r="E116" s="10" t="s">
        <v>168</v>
      </c>
      <c r="F116" s="119">
        <f t="shared" si="10"/>
        <v>44141</v>
      </c>
      <c r="G116" s="4">
        <v>44506</v>
      </c>
      <c r="H116" s="2" t="s">
        <v>28</v>
      </c>
      <c r="I116" s="2" t="s">
        <v>19</v>
      </c>
      <c r="J116" t="s">
        <v>46</v>
      </c>
      <c r="K116" s="7">
        <v>44270</v>
      </c>
      <c r="L116" s="3" t="s">
        <v>313</v>
      </c>
      <c r="M116" s="36">
        <f t="shared" ca="1" si="13"/>
        <v>44322</v>
      </c>
      <c r="N116" s="37" t="str">
        <f t="shared" ca="1" si="7"/>
        <v>NO</v>
      </c>
      <c r="O116" s="38">
        <f t="shared" ca="1" si="8"/>
        <v>184</v>
      </c>
      <c r="P116" s="39" t="str">
        <f t="shared" ca="1" si="9"/>
        <v>CALIBRADO</v>
      </c>
      <c r="Q116" s="86" t="s">
        <v>425</v>
      </c>
      <c r="R116" t="s">
        <v>476</v>
      </c>
    </row>
    <row r="117" spans="1:18" x14ac:dyDescent="0.3">
      <c r="A117" t="s">
        <v>47</v>
      </c>
      <c r="B117" t="s">
        <v>71</v>
      </c>
      <c r="C117" t="s">
        <v>98</v>
      </c>
      <c r="D117" s="8" t="s">
        <v>41</v>
      </c>
      <c r="E117" s="10" t="s">
        <v>167</v>
      </c>
      <c r="F117" s="119">
        <f t="shared" si="10"/>
        <v>44144</v>
      </c>
      <c r="G117" s="4">
        <v>44509</v>
      </c>
      <c r="H117" s="2" t="s">
        <v>28</v>
      </c>
      <c r="I117" s="2" t="s">
        <v>19</v>
      </c>
      <c r="J117" t="s">
        <v>46</v>
      </c>
      <c r="K117" s="7">
        <v>44270</v>
      </c>
      <c r="L117" s="3" t="s">
        <v>313</v>
      </c>
      <c r="M117" s="36">
        <f t="shared" ca="1" si="13"/>
        <v>44322</v>
      </c>
      <c r="N117" s="37" t="str">
        <f t="shared" ca="1" si="7"/>
        <v>NO</v>
      </c>
      <c r="O117" s="38">
        <f t="shared" ca="1" si="8"/>
        <v>187</v>
      </c>
      <c r="P117" s="39" t="str">
        <f t="shared" ca="1" si="9"/>
        <v>CALIBRADO</v>
      </c>
      <c r="Q117" s="86" t="s">
        <v>423</v>
      </c>
      <c r="R117" t="s">
        <v>476</v>
      </c>
    </row>
    <row r="118" spans="1:18" x14ac:dyDescent="0.3">
      <c r="A118" t="s">
        <v>47</v>
      </c>
      <c r="B118" t="s">
        <v>71</v>
      </c>
      <c r="C118" t="s">
        <v>82</v>
      </c>
      <c r="D118" s="8" t="s">
        <v>143</v>
      </c>
      <c r="E118" s="10" t="s">
        <v>169</v>
      </c>
      <c r="F118" s="119">
        <f t="shared" si="10"/>
        <v>44172</v>
      </c>
      <c r="G118" s="4">
        <v>44537</v>
      </c>
      <c r="H118" s="2" t="s">
        <v>28</v>
      </c>
      <c r="I118" s="2" t="s">
        <v>19</v>
      </c>
      <c r="J118" t="s">
        <v>46</v>
      </c>
      <c r="K118" s="7">
        <v>44270</v>
      </c>
      <c r="L118" s="3" t="s">
        <v>313</v>
      </c>
      <c r="M118" s="36">
        <f t="shared" ca="1" si="13"/>
        <v>44322</v>
      </c>
      <c r="N118" s="37" t="str">
        <f t="shared" ca="1" si="7"/>
        <v>NO</v>
      </c>
      <c r="O118" s="38">
        <f t="shared" ca="1" si="8"/>
        <v>215</v>
      </c>
      <c r="P118" s="39" t="str">
        <f t="shared" ca="1" si="9"/>
        <v>CALIBRADO</v>
      </c>
      <c r="Q118" s="86" t="s">
        <v>424</v>
      </c>
      <c r="R118" t="s">
        <v>476</v>
      </c>
    </row>
    <row r="119" spans="1:18" x14ac:dyDescent="0.3">
      <c r="A119" s="102" t="s">
        <v>50</v>
      </c>
      <c r="B119" s="102" t="s">
        <v>77</v>
      </c>
      <c r="C119" s="102" t="s">
        <v>98</v>
      </c>
      <c r="D119" s="108" t="s">
        <v>41</v>
      </c>
      <c r="E119" s="64" t="s">
        <v>173</v>
      </c>
      <c r="F119" s="121">
        <f t="shared" si="10"/>
        <v>43934</v>
      </c>
      <c r="G119" s="100">
        <v>44299</v>
      </c>
      <c r="H119" s="101" t="s">
        <v>28</v>
      </c>
      <c r="I119" s="101" t="s">
        <v>19</v>
      </c>
      <c r="J119" s="102" t="s">
        <v>46</v>
      </c>
      <c r="K119" s="103">
        <v>44270</v>
      </c>
      <c r="L119" s="98" t="s">
        <v>313</v>
      </c>
      <c r="M119" s="109">
        <f t="shared" ca="1" si="13"/>
        <v>44322</v>
      </c>
      <c r="N119" s="110" t="str">
        <f t="shared" ca="1" si="7"/>
        <v>SI</v>
      </c>
      <c r="O119" s="111">
        <f t="shared" ca="1" si="8"/>
        <v>-23</v>
      </c>
      <c r="P119" s="112" t="str">
        <f t="shared" ca="1" si="9"/>
        <v>DESCALIBRADO</v>
      </c>
      <c r="Q119" s="92" t="s">
        <v>484</v>
      </c>
      <c r="R119" s="114" t="s">
        <v>500</v>
      </c>
    </row>
    <row r="120" spans="1:18" x14ac:dyDescent="0.3">
      <c r="A120" s="102" t="s">
        <v>50</v>
      </c>
      <c r="B120" s="102" t="s">
        <v>77</v>
      </c>
      <c r="C120" s="102" t="s">
        <v>98</v>
      </c>
      <c r="D120" s="108" t="s">
        <v>41</v>
      </c>
      <c r="E120" s="64" t="s">
        <v>172</v>
      </c>
      <c r="F120" s="121">
        <f t="shared" si="10"/>
        <v>43942</v>
      </c>
      <c r="G120" s="100">
        <v>44307</v>
      </c>
      <c r="H120" s="101" t="s">
        <v>28</v>
      </c>
      <c r="I120" s="101" t="s">
        <v>19</v>
      </c>
      <c r="J120" s="102" t="s">
        <v>46</v>
      </c>
      <c r="K120" s="103">
        <v>44270</v>
      </c>
      <c r="L120" s="98" t="s">
        <v>313</v>
      </c>
      <c r="M120" s="109">
        <f t="shared" ca="1" si="13"/>
        <v>44322</v>
      </c>
      <c r="N120" s="110" t="str">
        <f t="shared" ca="1" si="7"/>
        <v>SI</v>
      </c>
      <c r="O120" s="111">
        <f t="shared" ca="1" si="8"/>
        <v>-15</v>
      </c>
      <c r="P120" s="112" t="str">
        <f t="shared" ca="1" si="9"/>
        <v>DESCALIBRADO</v>
      </c>
      <c r="Q120" s="92" t="s">
        <v>483</v>
      </c>
      <c r="R120" s="114" t="s">
        <v>500</v>
      </c>
    </row>
    <row r="121" spans="1:18" x14ac:dyDescent="0.3">
      <c r="A121" t="s">
        <v>50</v>
      </c>
      <c r="B121" t="s">
        <v>77</v>
      </c>
      <c r="C121" t="s">
        <v>98</v>
      </c>
      <c r="D121" s="8" t="s">
        <v>41</v>
      </c>
      <c r="E121" s="10">
        <v>1998</v>
      </c>
      <c r="F121" s="119">
        <f t="shared" si="10"/>
        <v>43948</v>
      </c>
      <c r="G121" s="4">
        <v>44313</v>
      </c>
      <c r="H121" s="2" t="s">
        <v>28</v>
      </c>
      <c r="I121" s="2" t="s">
        <v>19</v>
      </c>
      <c r="J121" t="s">
        <v>46</v>
      </c>
      <c r="K121" s="7">
        <v>44270</v>
      </c>
      <c r="L121" s="3" t="s">
        <v>313</v>
      </c>
      <c r="M121" s="36">
        <f t="shared" ca="1" si="13"/>
        <v>44322</v>
      </c>
      <c r="N121" s="37" t="str">
        <f t="shared" ca="1" si="7"/>
        <v>SI</v>
      </c>
      <c r="O121" s="38">
        <f t="shared" ca="1" si="8"/>
        <v>-9</v>
      </c>
      <c r="P121" s="39" t="str">
        <f t="shared" ca="1" si="9"/>
        <v>DESCALIBRADO</v>
      </c>
      <c r="Q121" t="s">
        <v>348</v>
      </c>
    </row>
    <row r="122" spans="1:18" x14ac:dyDescent="0.3">
      <c r="A122" s="102" t="s">
        <v>50</v>
      </c>
      <c r="B122" s="102" t="s">
        <v>77</v>
      </c>
      <c r="C122" s="102" t="s">
        <v>98</v>
      </c>
      <c r="D122" s="108" t="s">
        <v>41</v>
      </c>
      <c r="E122" s="64" t="s">
        <v>174</v>
      </c>
      <c r="F122" s="121">
        <f t="shared" si="10"/>
        <v>43952</v>
      </c>
      <c r="G122" s="100">
        <v>44317</v>
      </c>
      <c r="H122" s="101" t="s">
        <v>28</v>
      </c>
      <c r="I122" s="101" t="s">
        <v>19</v>
      </c>
      <c r="J122" s="102" t="s">
        <v>46</v>
      </c>
      <c r="K122" s="103">
        <v>44270</v>
      </c>
      <c r="L122" s="98" t="s">
        <v>313</v>
      </c>
      <c r="M122" s="109">
        <f t="shared" ca="1" si="13"/>
        <v>44322</v>
      </c>
      <c r="N122" s="110" t="str">
        <f t="shared" ca="1" si="7"/>
        <v>SI</v>
      </c>
      <c r="O122" s="111">
        <f t="shared" ca="1" si="8"/>
        <v>-5</v>
      </c>
      <c r="P122" s="112" t="str">
        <f t="shared" ca="1" si="9"/>
        <v>DESCALIBRADO</v>
      </c>
      <c r="Q122" s="92" t="s">
        <v>486</v>
      </c>
      <c r="R122" s="114" t="s">
        <v>500</v>
      </c>
    </row>
    <row r="123" spans="1:18" x14ac:dyDescent="0.3">
      <c r="A123" t="s">
        <v>50</v>
      </c>
      <c r="B123" t="s">
        <v>77</v>
      </c>
      <c r="C123" t="s">
        <v>64</v>
      </c>
      <c r="D123" s="8" t="s">
        <v>17</v>
      </c>
      <c r="E123" s="10">
        <v>4430169</v>
      </c>
      <c r="F123" s="119">
        <f t="shared" si="10"/>
        <v>43986</v>
      </c>
      <c r="G123" s="4">
        <v>44351</v>
      </c>
      <c r="H123" s="2" t="s">
        <v>28</v>
      </c>
      <c r="I123" s="2" t="s">
        <v>19</v>
      </c>
      <c r="J123" t="s">
        <v>46</v>
      </c>
      <c r="K123" s="7">
        <v>44270</v>
      </c>
      <c r="L123" s="3" t="s">
        <v>313</v>
      </c>
      <c r="M123" s="36">
        <f t="shared" ca="1" si="13"/>
        <v>44322</v>
      </c>
      <c r="N123" s="37" t="str">
        <f t="shared" ca="1" si="7"/>
        <v>NO</v>
      </c>
      <c r="O123" s="38">
        <f t="shared" ca="1" si="8"/>
        <v>29</v>
      </c>
      <c r="P123" s="39" t="str">
        <f t="shared" ca="1" si="9"/>
        <v>CALIBRADO</v>
      </c>
      <c r="Q123" t="s">
        <v>348</v>
      </c>
    </row>
    <row r="124" spans="1:18" x14ac:dyDescent="0.3">
      <c r="A124" t="s">
        <v>50</v>
      </c>
      <c r="B124" t="s">
        <v>77</v>
      </c>
      <c r="C124" t="s">
        <v>82</v>
      </c>
      <c r="D124" s="8" t="s">
        <v>51</v>
      </c>
      <c r="E124" s="10">
        <v>35709</v>
      </c>
      <c r="F124" s="119">
        <f t="shared" si="10"/>
        <v>43998</v>
      </c>
      <c r="G124" s="4">
        <v>44363</v>
      </c>
      <c r="H124" s="2" t="s">
        <v>28</v>
      </c>
      <c r="I124" s="2" t="s">
        <v>19</v>
      </c>
      <c r="J124" t="s">
        <v>46</v>
      </c>
      <c r="K124" s="7">
        <v>44270</v>
      </c>
      <c r="L124" s="3" t="s">
        <v>313</v>
      </c>
      <c r="M124" s="36">
        <f t="shared" ca="1" si="13"/>
        <v>44322</v>
      </c>
      <c r="N124" s="37" t="str">
        <f t="shared" ca="1" si="7"/>
        <v>NO</v>
      </c>
      <c r="O124" s="38">
        <f t="shared" ca="1" si="8"/>
        <v>41</v>
      </c>
      <c r="P124" s="39" t="str">
        <f t="shared" ca="1" si="9"/>
        <v>CALIBRADO</v>
      </c>
      <c r="Q124" t="s">
        <v>348</v>
      </c>
    </row>
    <row r="125" spans="1:18" x14ac:dyDescent="0.3">
      <c r="A125" t="s">
        <v>50</v>
      </c>
      <c r="B125" t="s">
        <v>77</v>
      </c>
      <c r="C125" t="s">
        <v>82</v>
      </c>
      <c r="D125" s="8" t="s">
        <v>83</v>
      </c>
      <c r="E125" s="10">
        <v>7905</v>
      </c>
      <c r="F125" s="119">
        <f t="shared" si="10"/>
        <v>44053</v>
      </c>
      <c r="G125" s="4">
        <v>44418</v>
      </c>
      <c r="H125" s="2" t="s">
        <v>28</v>
      </c>
      <c r="I125" s="2" t="s">
        <v>19</v>
      </c>
      <c r="J125" t="s">
        <v>46</v>
      </c>
      <c r="K125" s="7">
        <v>44270</v>
      </c>
      <c r="L125" s="3" t="s">
        <v>313</v>
      </c>
      <c r="M125" s="36">
        <f t="shared" ca="1" si="13"/>
        <v>44322</v>
      </c>
      <c r="N125" s="37" t="str">
        <f t="shared" ca="1" si="7"/>
        <v>NO</v>
      </c>
      <c r="O125" s="38">
        <f t="shared" ca="1" si="8"/>
        <v>96</v>
      </c>
      <c r="P125" s="39" t="str">
        <f t="shared" ca="1" si="9"/>
        <v>CALIBRADO</v>
      </c>
      <c r="Q125" t="s">
        <v>348</v>
      </c>
    </row>
    <row r="126" spans="1:18" x14ac:dyDescent="0.3">
      <c r="A126" t="s">
        <v>50</v>
      </c>
      <c r="B126" t="s">
        <v>77</v>
      </c>
      <c r="C126" t="s">
        <v>64</v>
      </c>
      <c r="D126" s="8" t="s">
        <v>125</v>
      </c>
      <c r="E126" s="10">
        <v>14117108</v>
      </c>
      <c r="F126" s="119">
        <f t="shared" si="10"/>
        <v>44158</v>
      </c>
      <c r="G126" s="4">
        <v>44523</v>
      </c>
      <c r="H126" s="2" t="s">
        <v>28</v>
      </c>
      <c r="I126" s="2" t="s">
        <v>19</v>
      </c>
      <c r="J126" t="s">
        <v>46</v>
      </c>
      <c r="K126" s="7">
        <v>44270</v>
      </c>
      <c r="L126" s="3" t="s">
        <v>313</v>
      </c>
      <c r="M126" s="36">
        <f t="shared" ca="1" si="13"/>
        <v>44322</v>
      </c>
      <c r="N126" s="37" t="str">
        <f t="shared" ca="1" si="7"/>
        <v>NO</v>
      </c>
      <c r="O126" s="38">
        <f t="shared" ca="1" si="8"/>
        <v>201</v>
      </c>
      <c r="P126" s="39" t="str">
        <f t="shared" ca="1" si="9"/>
        <v>CALIBRADO</v>
      </c>
      <c r="Q126" t="s">
        <v>348</v>
      </c>
    </row>
    <row r="127" spans="1:18" x14ac:dyDescent="0.3">
      <c r="A127" s="102" t="s">
        <v>50</v>
      </c>
      <c r="B127" s="102" t="s">
        <v>77</v>
      </c>
      <c r="C127" s="102" t="s">
        <v>82</v>
      </c>
      <c r="D127" s="108" t="s">
        <v>51</v>
      </c>
      <c r="E127" s="113" t="s">
        <v>396</v>
      </c>
      <c r="F127" s="123">
        <f t="shared" si="10"/>
        <v>44170</v>
      </c>
      <c r="G127" s="100">
        <v>44535</v>
      </c>
      <c r="H127" s="101" t="s">
        <v>28</v>
      </c>
      <c r="I127" s="101" t="s">
        <v>19</v>
      </c>
      <c r="J127" s="102" t="s">
        <v>46</v>
      </c>
      <c r="K127" s="103">
        <v>44270</v>
      </c>
      <c r="L127" s="98" t="s">
        <v>313</v>
      </c>
      <c r="M127" s="109">
        <f t="shared" ca="1" si="13"/>
        <v>44322</v>
      </c>
      <c r="N127" s="110" t="str">
        <f t="shared" ca="1" si="7"/>
        <v>NO</v>
      </c>
      <c r="O127" s="111">
        <f t="shared" ca="1" si="8"/>
        <v>213</v>
      </c>
      <c r="P127" s="112" t="str">
        <f t="shared" ca="1" si="9"/>
        <v>CALIBRADO</v>
      </c>
      <c r="Q127" s="92" t="s">
        <v>485</v>
      </c>
      <c r="R127" s="114" t="s">
        <v>500</v>
      </c>
    </row>
    <row r="128" spans="1:18" x14ac:dyDescent="0.3">
      <c r="A128" s="102" t="s">
        <v>52</v>
      </c>
      <c r="B128" s="102" t="s">
        <v>81</v>
      </c>
      <c r="C128" s="102" t="s">
        <v>64</v>
      </c>
      <c r="D128" s="108" t="s">
        <v>125</v>
      </c>
      <c r="E128" s="64">
        <v>17332059</v>
      </c>
      <c r="F128" s="121">
        <f t="shared" si="10"/>
        <v>44276</v>
      </c>
      <c r="G128" s="100">
        <v>44641</v>
      </c>
      <c r="H128" s="101" t="s">
        <v>28</v>
      </c>
      <c r="I128" s="101" t="s">
        <v>19</v>
      </c>
      <c r="J128" s="102" t="s">
        <v>46</v>
      </c>
      <c r="K128" s="103">
        <v>44270</v>
      </c>
      <c r="L128" s="98" t="s">
        <v>313</v>
      </c>
      <c r="M128" s="109">
        <f t="shared" ca="1" si="13"/>
        <v>44322</v>
      </c>
      <c r="N128" s="110" t="str">
        <f t="shared" ca="1" si="7"/>
        <v>NO</v>
      </c>
      <c r="O128" s="111">
        <f t="shared" ca="1" si="8"/>
        <v>319</v>
      </c>
      <c r="P128" s="112" t="str">
        <f t="shared" ca="1" si="9"/>
        <v>CALIBRADO</v>
      </c>
      <c r="Q128" s="92" t="s">
        <v>487</v>
      </c>
      <c r="R128" s="114" t="s">
        <v>500</v>
      </c>
    </row>
    <row r="129" spans="1:18" x14ac:dyDescent="0.3">
      <c r="A129" s="102" t="s">
        <v>52</v>
      </c>
      <c r="B129" s="102" t="s">
        <v>81</v>
      </c>
      <c r="C129" s="102" t="s">
        <v>98</v>
      </c>
      <c r="D129" s="108" t="s">
        <v>66</v>
      </c>
      <c r="E129" s="64">
        <v>913033</v>
      </c>
      <c r="F129" s="121">
        <f t="shared" si="10"/>
        <v>43964</v>
      </c>
      <c r="G129" s="100">
        <v>44329</v>
      </c>
      <c r="H129" s="101" t="s">
        <v>28</v>
      </c>
      <c r="I129" s="101" t="s">
        <v>19</v>
      </c>
      <c r="J129" s="102" t="s">
        <v>46</v>
      </c>
      <c r="K129" s="103">
        <v>44270</v>
      </c>
      <c r="L129" s="98" t="s">
        <v>313</v>
      </c>
      <c r="M129" s="109">
        <f t="shared" ca="1" si="13"/>
        <v>44322</v>
      </c>
      <c r="N129" s="110" t="str">
        <f t="shared" ref="N129:N190" ca="1" si="14">IF(P129="DESCALIBRADO","SI",IF(P129="CALIBRADO","NO",IF(P129="POR CALIBRAR","NO "," ")))</f>
        <v xml:space="preserve">NO </v>
      </c>
      <c r="O129" s="111">
        <f t="shared" ref="O129:O190" ca="1" si="15">+G129-M129</f>
        <v>7</v>
      </c>
      <c r="P129" s="112" t="str">
        <f t="shared" ref="P129:P190" ca="1" si="16">IF(G129="","",IF(G129-M129&gt;15,"CALIBRADO",IF(AND(G129-M129&lt;=15,G129-M129&gt;=0),"POR CALIBRAR","DESCALIBRADO")))</f>
        <v>POR CALIBRAR</v>
      </c>
      <c r="Q129" s="92" t="s">
        <v>488</v>
      </c>
      <c r="R129" s="114" t="s">
        <v>500</v>
      </c>
    </row>
    <row r="130" spans="1:18" x14ac:dyDescent="0.3">
      <c r="A130" s="102" t="s">
        <v>52</v>
      </c>
      <c r="B130" s="102" t="s">
        <v>81</v>
      </c>
      <c r="C130" s="102" t="s">
        <v>98</v>
      </c>
      <c r="D130" s="108" t="s">
        <v>66</v>
      </c>
      <c r="E130" s="64">
        <v>913032</v>
      </c>
      <c r="F130" s="121">
        <f t="shared" ref="F130:F193" si="17">G130-365</f>
        <v>43964</v>
      </c>
      <c r="G130" s="100">
        <v>44329</v>
      </c>
      <c r="H130" s="101" t="s">
        <v>28</v>
      </c>
      <c r="I130" s="101" t="s">
        <v>19</v>
      </c>
      <c r="J130" s="102" t="s">
        <v>46</v>
      </c>
      <c r="K130" s="103">
        <v>44270</v>
      </c>
      <c r="L130" s="98" t="s">
        <v>313</v>
      </c>
      <c r="M130" s="109">
        <f t="shared" ca="1" si="13"/>
        <v>44322</v>
      </c>
      <c r="N130" s="110" t="str">
        <f t="shared" ca="1" si="14"/>
        <v xml:space="preserve">NO </v>
      </c>
      <c r="O130" s="111">
        <f t="shared" ca="1" si="15"/>
        <v>7</v>
      </c>
      <c r="P130" s="112" t="str">
        <f t="shared" ca="1" si="16"/>
        <v>POR CALIBRAR</v>
      </c>
      <c r="Q130" s="92" t="s">
        <v>489</v>
      </c>
      <c r="R130" s="114" t="s">
        <v>500</v>
      </c>
    </row>
    <row r="131" spans="1:18" x14ac:dyDescent="0.3">
      <c r="A131" s="102" t="s">
        <v>52</v>
      </c>
      <c r="B131" s="102" t="s">
        <v>81</v>
      </c>
      <c r="C131" s="102" t="s">
        <v>98</v>
      </c>
      <c r="D131" s="108" t="s">
        <v>66</v>
      </c>
      <c r="E131" s="64">
        <v>913036</v>
      </c>
      <c r="F131" s="121">
        <f t="shared" si="17"/>
        <v>44030</v>
      </c>
      <c r="G131" s="100">
        <v>44395</v>
      </c>
      <c r="H131" s="101" t="s">
        <v>28</v>
      </c>
      <c r="I131" s="101" t="s">
        <v>19</v>
      </c>
      <c r="J131" s="102" t="s">
        <v>46</v>
      </c>
      <c r="K131" s="103">
        <v>44270</v>
      </c>
      <c r="L131" s="98" t="s">
        <v>313</v>
      </c>
      <c r="M131" s="109">
        <f t="shared" ca="1" si="13"/>
        <v>44322</v>
      </c>
      <c r="N131" s="110" t="str">
        <f t="shared" ca="1" si="14"/>
        <v>NO</v>
      </c>
      <c r="O131" s="111">
        <f t="shared" ca="1" si="15"/>
        <v>73</v>
      </c>
      <c r="P131" s="112" t="str">
        <f t="shared" ca="1" si="16"/>
        <v>CALIBRADO</v>
      </c>
      <c r="Q131" s="92" t="s">
        <v>490</v>
      </c>
      <c r="R131" s="114" t="s">
        <v>500</v>
      </c>
    </row>
    <row r="132" spans="1:18" x14ac:dyDescent="0.3">
      <c r="A132" t="s">
        <v>52</v>
      </c>
      <c r="B132" t="s">
        <v>81</v>
      </c>
      <c r="C132" t="s">
        <v>82</v>
      </c>
      <c r="D132" s="8" t="s">
        <v>66</v>
      </c>
      <c r="E132" s="10" t="s">
        <v>306</v>
      </c>
      <c r="F132" s="119">
        <f t="shared" si="17"/>
        <v>44155</v>
      </c>
      <c r="G132" s="4">
        <v>44520</v>
      </c>
      <c r="H132" s="2" t="s">
        <v>28</v>
      </c>
      <c r="I132" s="2" t="s">
        <v>19</v>
      </c>
      <c r="J132" t="s">
        <v>46</v>
      </c>
      <c r="K132" s="7">
        <v>44270</v>
      </c>
      <c r="L132" s="3" t="s">
        <v>313</v>
      </c>
      <c r="M132" s="36">
        <f t="shared" ca="1" si="13"/>
        <v>44322</v>
      </c>
      <c r="N132" s="37" t="str">
        <f t="shared" ca="1" si="14"/>
        <v>NO</v>
      </c>
      <c r="O132" s="38">
        <f t="shared" ca="1" si="15"/>
        <v>198</v>
      </c>
      <c r="P132" s="39" t="str">
        <f t="shared" ca="1" si="16"/>
        <v>CALIBRADO</v>
      </c>
      <c r="Q132" t="s">
        <v>348</v>
      </c>
    </row>
    <row r="133" spans="1:18" x14ac:dyDescent="0.3">
      <c r="A133" t="s">
        <v>32</v>
      </c>
      <c r="B133" t="s">
        <v>33</v>
      </c>
      <c r="C133" t="s">
        <v>98</v>
      </c>
      <c r="D133" s="8" t="s">
        <v>41</v>
      </c>
      <c r="E133" s="10" t="s">
        <v>314</v>
      </c>
      <c r="F133" s="119">
        <f t="shared" si="17"/>
        <v>44240</v>
      </c>
      <c r="G133" s="4">
        <v>44605</v>
      </c>
      <c r="H133" s="2" t="s">
        <v>28</v>
      </c>
      <c r="I133" s="2" t="s">
        <v>19</v>
      </c>
      <c r="J133" t="s">
        <v>46</v>
      </c>
      <c r="K133" s="7">
        <v>44270</v>
      </c>
      <c r="L133" s="3" t="s">
        <v>313</v>
      </c>
      <c r="M133" s="36">
        <f t="shared" ca="1" si="13"/>
        <v>44322</v>
      </c>
      <c r="N133" s="37" t="str">
        <f t="shared" ca="1" si="14"/>
        <v>NO</v>
      </c>
      <c r="O133" s="38">
        <f t="shared" ca="1" si="15"/>
        <v>283</v>
      </c>
      <c r="P133" s="39" t="str">
        <f t="shared" ca="1" si="16"/>
        <v>CALIBRADO</v>
      </c>
      <c r="Q133" s="86" t="s">
        <v>364</v>
      </c>
      <c r="R133" t="s">
        <v>476</v>
      </c>
    </row>
    <row r="134" spans="1:18" x14ac:dyDescent="0.3">
      <c r="A134" t="s">
        <v>32</v>
      </c>
      <c r="B134" t="s">
        <v>33</v>
      </c>
      <c r="C134" t="s">
        <v>64</v>
      </c>
      <c r="D134" s="8" t="s">
        <v>125</v>
      </c>
      <c r="E134" s="10">
        <v>18159151</v>
      </c>
      <c r="F134" s="119">
        <f t="shared" si="17"/>
        <v>44093</v>
      </c>
      <c r="G134" s="4">
        <v>44458</v>
      </c>
      <c r="H134" s="2" t="s">
        <v>28</v>
      </c>
      <c r="I134" s="2" t="s">
        <v>19</v>
      </c>
      <c r="J134" t="s">
        <v>46</v>
      </c>
      <c r="K134" s="7">
        <v>44270</v>
      </c>
      <c r="L134" s="3" t="s">
        <v>313</v>
      </c>
      <c r="M134" s="36">
        <f t="shared" ca="1" si="13"/>
        <v>44322</v>
      </c>
      <c r="N134" s="37" t="str">
        <f t="shared" ca="1" si="14"/>
        <v>NO</v>
      </c>
      <c r="O134" s="38">
        <f t="shared" ca="1" si="15"/>
        <v>136</v>
      </c>
      <c r="P134" s="39" t="str">
        <f t="shared" ca="1" si="16"/>
        <v>CALIBRADO</v>
      </c>
      <c r="Q134" s="86" t="s">
        <v>366</v>
      </c>
      <c r="R134" t="s">
        <v>476</v>
      </c>
    </row>
    <row r="135" spans="1:18" x14ac:dyDescent="0.3">
      <c r="A135" t="s">
        <v>32</v>
      </c>
      <c r="B135" t="s">
        <v>33</v>
      </c>
      <c r="C135" t="s">
        <v>64</v>
      </c>
      <c r="D135" s="8" t="s">
        <v>155</v>
      </c>
      <c r="E135" s="10">
        <v>1062071</v>
      </c>
      <c r="F135" s="119">
        <f t="shared" si="17"/>
        <v>44114</v>
      </c>
      <c r="G135" s="4">
        <v>44479</v>
      </c>
      <c r="H135" s="2" t="s">
        <v>28</v>
      </c>
      <c r="I135" s="2" t="s">
        <v>19</v>
      </c>
      <c r="J135" t="s">
        <v>46</v>
      </c>
      <c r="K135" s="7">
        <v>44270</v>
      </c>
      <c r="L135" s="3" t="s">
        <v>313</v>
      </c>
      <c r="M135" s="36">
        <f t="shared" ca="1" si="13"/>
        <v>44322</v>
      </c>
      <c r="N135" s="37" t="str">
        <f t="shared" ca="1" si="14"/>
        <v>NO</v>
      </c>
      <c r="O135" s="38">
        <f t="shared" ca="1" si="15"/>
        <v>157</v>
      </c>
      <c r="P135" s="39" t="str">
        <f t="shared" ca="1" si="16"/>
        <v>CALIBRADO</v>
      </c>
      <c r="Q135" s="86" t="s">
        <v>365</v>
      </c>
      <c r="R135" t="s">
        <v>476</v>
      </c>
    </row>
    <row r="136" spans="1:18" x14ac:dyDescent="0.3">
      <c r="A136" t="s">
        <v>32</v>
      </c>
      <c r="B136" t="s">
        <v>33</v>
      </c>
      <c r="C136" t="s">
        <v>82</v>
      </c>
      <c r="D136" s="8" t="s">
        <v>177</v>
      </c>
      <c r="E136" s="10" t="s">
        <v>180</v>
      </c>
      <c r="F136" s="119">
        <f t="shared" si="17"/>
        <v>44123</v>
      </c>
      <c r="G136" s="4">
        <v>44488</v>
      </c>
      <c r="H136" s="2" t="s">
        <v>28</v>
      </c>
      <c r="I136" s="2" t="s">
        <v>19</v>
      </c>
      <c r="J136" t="s">
        <v>46</v>
      </c>
      <c r="K136" s="7">
        <v>44270</v>
      </c>
      <c r="L136" s="3" t="s">
        <v>313</v>
      </c>
      <c r="M136" s="36">
        <f t="shared" ca="1" si="13"/>
        <v>44322</v>
      </c>
      <c r="N136" s="37" t="str">
        <f t="shared" ca="1" si="14"/>
        <v>NO</v>
      </c>
      <c r="O136" s="38">
        <f t="shared" ca="1" si="15"/>
        <v>166</v>
      </c>
      <c r="P136" s="39" t="str">
        <f t="shared" ca="1" si="16"/>
        <v>CALIBRADO</v>
      </c>
      <c r="Q136" t="s">
        <v>348</v>
      </c>
    </row>
    <row r="137" spans="1:18" x14ac:dyDescent="0.3">
      <c r="A137" t="s">
        <v>32</v>
      </c>
      <c r="B137" t="s">
        <v>33</v>
      </c>
      <c r="C137" t="s">
        <v>82</v>
      </c>
      <c r="D137" s="8" t="s">
        <v>177</v>
      </c>
      <c r="E137" s="10" t="s">
        <v>179</v>
      </c>
      <c r="F137" s="119">
        <f t="shared" si="17"/>
        <v>44134</v>
      </c>
      <c r="G137" s="4">
        <v>44499</v>
      </c>
      <c r="H137" s="2" t="s">
        <v>28</v>
      </c>
      <c r="I137" s="2" t="s">
        <v>19</v>
      </c>
      <c r="J137" t="s">
        <v>46</v>
      </c>
      <c r="K137" s="7">
        <v>44270</v>
      </c>
      <c r="L137" s="3" t="s">
        <v>313</v>
      </c>
      <c r="M137" s="36">
        <f t="shared" ca="1" si="13"/>
        <v>44322</v>
      </c>
      <c r="N137" s="37" t="str">
        <f t="shared" ca="1" si="14"/>
        <v>NO</v>
      </c>
      <c r="O137" s="38">
        <f t="shared" ca="1" si="15"/>
        <v>177</v>
      </c>
      <c r="P137" s="39" t="str">
        <f t="shared" ca="1" si="16"/>
        <v>CALIBRADO</v>
      </c>
      <c r="Q137" t="s">
        <v>348</v>
      </c>
    </row>
    <row r="138" spans="1:18" x14ac:dyDescent="0.3">
      <c r="A138" t="s">
        <v>32</v>
      </c>
      <c r="B138" t="s">
        <v>33</v>
      </c>
      <c r="C138" t="s">
        <v>64</v>
      </c>
      <c r="D138" s="8" t="s">
        <v>125</v>
      </c>
      <c r="E138" s="10">
        <v>16159065</v>
      </c>
      <c r="F138" s="119">
        <f t="shared" si="17"/>
        <v>44134</v>
      </c>
      <c r="G138" s="4">
        <v>44499</v>
      </c>
      <c r="H138" s="2" t="s">
        <v>28</v>
      </c>
      <c r="I138" s="2" t="s">
        <v>19</v>
      </c>
      <c r="J138" t="s">
        <v>46</v>
      </c>
      <c r="K138" s="7">
        <v>44270</v>
      </c>
      <c r="L138" s="3" t="s">
        <v>313</v>
      </c>
      <c r="M138" s="36">
        <f t="shared" ca="1" si="13"/>
        <v>44322</v>
      </c>
      <c r="N138" s="37" t="str">
        <f t="shared" ca="1" si="14"/>
        <v>NO</v>
      </c>
      <c r="O138" s="38">
        <f t="shared" ca="1" si="15"/>
        <v>177</v>
      </c>
      <c r="P138" s="39" t="str">
        <f t="shared" ca="1" si="16"/>
        <v>CALIBRADO</v>
      </c>
      <c r="Q138" t="s">
        <v>348</v>
      </c>
    </row>
    <row r="139" spans="1:18" x14ac:dyDescent="0.3">
      <c r="A139" t="s">
        <v>32</v>
      </c>
      <c r="B139" t="s">
        <v>33</v>
      </c>
      <c r="C139" t="s">
        <v>82</v>
      </c>
      <c r="D139" s="8" t="s">
        <v>177</v>
      </c>
      <c r="E139" s="10" t="s">
        <v>178</v>
      </c>
      <c r="F139" s="119">
        <f t="shared" si="17"/>
        <v>44148</v>
      </c>
      <c r="G139" s="4">
        <v>44513</v>
      </c>
      <c r="H139" s="2" t="s">
        <v>28</v>
      </c>
      <c r="I139" s="2" t="s">
        <v>19</v>
      </c>
      <c r="J139" t="s">
        <v>46</v>
      </c>
      <c r="K139" s="7">
        <v>44270</v>
      </c>
      <c r="L139" s="3" t="s">
        <v>313</v>
      </c>
      <c r="M139" s="36">
        <f t="shared" ca="1" si="13"/>
        <v>44322</v>
      </c>
      <c r="N139" s="37" t="str">
        <f t="shared" ca="1" si="14"/>
        <v>NO</v>
      </c>
      <c r="O139" s="38">
        <f t="shared" ca="1" si="15"/>
        <v>191</v>
      </c>
      <c r="P139" s="39" t="str">
        <f t="shared" ca="1" si="16"/>
        <v>CALIBRADO</v>
      </c>
      <c r="Q139" s="86" t="s">
        <v>367</v>
      </c>
      <c r="R139" t="s">
        <v>476</v>
      </c>
    </row>
    <row r="140" spans="1:18" x14ac:dyDescent="0.3">
      <c r="A140" t="s">
        <v>32</v>
      </c>
      <c r="B140" t="s">
        <v>152</v>
      </c>
      <c r="C140" t="s">
        <v>82</v>
      </c>
      <c r="D140" s="8" t="s">
        <v>136</v>
      </c>
      <c r="E140" s="10" t="s">
        <v>181</v>
      </c>
      <c r="F140" s="119">
        <f t="shared" si="17"/>
        <v>44021</v>
      </c>
      <c r="G140" s="4">
        <v>44386</v>
      </c>
      <c r="H140" s="2" t="s">
        <v>28</v>
      </c>
      <c r="I140" s="2" t="s">
        <v>19</v>
      </c>
      <c r="J140" t="s">
        <v>46</v>
      </c>
      <c r="K140" s="7">
        <v>44270</v>
      </c>
      <c r="L140" s="3" t="s">
        <v>313</v>
      </c>
      <c r="M140" s="36">
        <f t="shared" ca="1" si="13"/>
        <v>44322</v>
      </c>
      <c r="N140" s="37" t="str">
        <f t="shared" ca="1" si="14"/>
        <v>NO</v>
      </c>
      <c r="O140" s="38">
        <f t="shared" ca="1" si="15"/>
        <v>64</v>
      </c>
      <c r="P140" s="39" t="str">
        <f t="shared" ca="1" si="16"/>
        <v>CALIBRADO</v>
      </c>
      <c r="Q140" s="86" t="s">
        <v>338</v>
      </c>
      <c r="R140" t="s">
        <v>476</v>
      </c>
    </row>
    <row r="141" spans="1:18" x14ac:dyDescent="0.3">
      <c r="A141" t="s">
        <v>32</v>
      </c>
      <c r="B141" t="s">
        <v>152</v>
      </c>
      <c r="C141" t="s">
        <v>149</v>
      </c>
      <c r="D141" s="8" t="s">
        <v>150</v>
      </c>
      <c r="E141" s="10" t="s">
        <v>153</v>
      </c>
      <c r="F141" s="119">
        <f t="shared" si="17"/>
        <v>44042</v>
      </c>
      <c r="G141" s="4">
        <v>44407</v>
      </c>
      <c r="H141" s="2" t="s">
        <v>28</v>
      </c>
      <c r="I141" s="2" t="s">
        <v>19</v>
      </c>
      <c r="J141" t="s">
        <v>46</v>
      </c>
      <c r="K141" s="7">
        <v>44270</v>
      </c>
      <c r="L141" s="3" t="s">
        <v>313</v>
      </c>
      <c r="M141" s="36">
        <f t="shared" ca="1" si="13"/>
        <v>44322</v>
      </c>
      <c r="N141" s="37" t="str">
        <f t="shared" ca="1" si="14"/>
        <v>NO</v>
      </c>
      <c r="O141" s="38">
        <f t="shared" ca="1" si="15"/>
        <v>85</v>
      </c>
      <c r="P141" s="39" t="str">
        <f t="shared" ca="1" si="16"/>
        <v>CALIBRADO</v>
      </c>
      <c r="Q141" s="86" t="s">
        <v>339</v>
      </c>
      <c r="R141" t="s">
        <v>476</v>
      </c>
    </row>
    <row r="142" spans="1:18" x14ac:dyDescent="0.3">
      <c r="A142" t="s">
        <v>32</v>
      </c>
      <c r="B142" t="s">
        <v>152</v>
      </c>
      <c r="C142" t="s">
        <v>64</v>
      </c>
      <c r="D142" s="8" t="s">
        <v>125</v>
      </c>
      <c r="E142" s="10">
        <v>16159080</v>
      </c>
      <c r="F142" s="119">
        <f t="shared" si="17"/>
        <v>44061</v>
      </c>
      <c r="G142" s="4">
        <v>44426</v>
      </c>
      <c r="H142" s="2" t="s">
        <v>28</v>
      </c>
      <c r="I142" s="2" t="s">
        <v>19</v>
      </c>
      <c r="J142" t="s">
        <v>46</v>
      </c>
      <c r="K142" s="7">
        <v>44270</v>
      </c>
      <c r="L142" s="3" t="s">
        <v>313</v>
      </c>
      <c r="M142" s="36">
        <f t="shared" ca="1" si="13"/>
        <v>44322</v>
      </c>
      <c r="N142" s="37" t="str">
        <f t="shared" ca="1" si="14"/>
        <v>NO</v>
      </c>
      <c r="O142" s="38">
        <f t="shared" ca="1" si="15"/>
        <v>104</v>
      </c>
      <c r="P142" s="39" t="str">
        <f t="shared" ca="1" si="16"/>
        <v>CALIBRADO</v>
      </c>
      <c r="Q142" s="86" t="s">
        <v>340</v>
      </c>
      <c r="R142" t="s">
        <v>476</v>
      </c>
    </row>
    <row r="143" spans="1:18" x14ac:dyDescent="0.3">
      <c r="A143" t="s">
        <v>32</v>
      </c>
      <c r="B143" t="s">
        <v>152</v>
      </c>
      <c r="C143" t="s">
        <v>98</v>
      </c>
      <c r="D143" s="8" t="s">
        <v>41</v>
      </c>
      <c r="E143" s="10" t="s">
        <v>160</v>
      </c>
      <c r="F143" s="119">
        <f t="shared" si="17"/>
        <v>44123</v>
      </c>
      <c r="G143" s="4">
        <v>44488</v>
      </c>
      <c r="H143" s="2" t="s">
        <v>28</v>
      </c>
      <c r="I143" s="2" t="s">
        <v>19</v>
      </c>
      <c r="J143" t="s">
        <v>46</v>
      </c>
      <c r="K143" s="7">
        <v>44270</v>
      </c>
      <c r="L143" s="3" t="s">
        <v>313</v>
      </c>
      <c r="M143" s="36">
        <f t="shared" ca="1" si="13"/>
        <v>44322</v>
      </c>
      <c r="N143" s="37" t="str">
        <f t="shared" ca="1" si="14"/>
        <v>NO</v>
      </c>
      <c r="O143" s="38">
        <f t="shared" ca="1" si="15"/>
        <v>166</v>
      </c>
      <c r="P143" s="39" t="str">
        <f t="shared" ca="1" si="16"/>
        <v>CALIBRADO</v>
      </c>
      <c r="Q143" s="86" t="s">
        <v>337</v>
      </c>
      <c r="R143" t="s">
        <v>476</v>
      </c>
    </row>
    <row r="144" spans="1:18" x14ac:dyDescent="0.3">
      <c r="A144" s="102" t="s">
        <v>50</v>
      </c>
      <c r="B144" s="102" t="s">
        <v>78</v>
      </c>
      <c r="C144" s="102" t="s">
        <v>188</v>
      </c>
      <c r="D144" s="108" t="s">
        <v>22</v>
      </c>
      <c r="E144" s="64">
        <v>2511551</v>
      </c>
      <c r="F144" s="121">
        <f t="shared" si="17"/>
        <v>44260</v>
      </c>
      <c r="G144" s="100">
        <v>44625</v>
      </c>
      <c r="H144" s="101" t="s">
        <v>28</v>
      </c>
      <c r="I144" s="101" t="s">
        <v>19</v>
      </c>
      <c r="J144" s="102" t="s">
        <v>46</v>
      </c>
      <c r="K144" s="103">
        <v>44270</v>
      </c>
      <c r="L144" s="98" t="s">
        <v>313</v>
      </c>
      <c r="M144" s="109">
        <f t="shared" ca="1" si="13"/>
        <v>44322</v>
      </c>
      <c r="N144" s="110" t="str">
        <f t="shared" ca="1" si="14"/>
        <v>NO</v>
      </c>
      <c r="O144" s="111">
        <f t="shared" ca="1" si="15"/>
        <v>303</v>
      </c>
      <c r="P144" s="112" t="str">
        <f t="shared" ca="1" si="16"/>
        <v>CALIBRADO</v>
      </c>
      <c r="Q144" s="92" t="s">
        <v>493</v>
      </c>
      <c r="R144" s="114" t="s">
        <v>500</v>
      </c>
    </row>
    <row r="145" spans="1:18" x14ac:dyDescent="0.3">
      <c r="A145" s="102" t="s">
        <v>50</v>
      </c>
      <c r="B145" s="102" t="s">
        <v>78</v>
      </c>
      <c r="C145" s="102" t="s">
        <v>64</v>
      </c>
      <c r="D145" s="108" t="s">
        <v>266</v>
      </c>
      <c r="E145" s="64">
        <v>6200755581</v>
      </c>
      <c r="F145" s="121">
        <f t="shared" si="17"/>
        <v>43983</v>
      </c>
      <c r="G145" s="100">
        <v>44348</v>
      </c>
      <c r="H145" s="101" t="s">
        <v>28</v>
      </c>
      <c r="I145" s="101" t="s">
        <v>19</v>
      </c>
      <c r="J145" s="102" t="s">
        <v>46</v>
      </c>
      <c r="K145" s="103">
        <v>44270</v>
      </c>
      <c r="L145" s="98" t="s">
        <v>313</v>
      </c>
      <c r="M145" s="109">
        <f t="shared" ca="1" si="13"/>
        <v>44322</v>
      </c>
      <c r="N145" s="110" t="str">
        <f t="shared" ca="1" si="14"/>
        <v>NO</v>
      </c>
      <c r="O145" s="111">
        <f t="shared" ca="1" si="15"/>
        <v>26</v>
      </c>
      <c r="P145" s="112" t="str">
        <f t="shared" ca="1" si="16"/>
        <v>CALIBRADO</v>
      </c>
      <c r="Q145" s="92" t="s">
        <v>494</v>
      </c>
      <c r="R145" s="114" t="s">
        <v>500</v>
      </c>
    </row>
    <row r="146" spans="1:18" x14ac:dyDescent="0.3">
      <c r="A146" t="s">
        <v>50</v>
      </c>
      <c r="B146" t="s">
        <v>78</v>
      </c>
      <c r="C146" t="s">
        <v>98</v>
      </c>
      <c r="D146" s="8" t="s">
        <v>41</v>
      </c>
      <c r="E146" s="10" t="s">
        <v>183</v>
      </c>
      <c r="F146" s="119">
        <f t="shared" si="17"/>
        <v>44041</v>
      </c>
      <c r="G146" s="4">
        <v>44406</v>
      </c>
      <c r="H146" s="2" t="s">
        <v>28</v>
      </c>
      <c r="I146" s="2" t="s">
        <v>19</v>
      </c>
      <c r="J146" t="s">
        <v>46</v>
      </c>
      <c r="K146" s="7">
        <v>44270</v>
      </c>
      <c r="L146" s="3" t="s">
        <v>313</v>
      </c>
      <c r="M146" s="36">
        <f t="shared" ca="1" si="13"/>
        <v>44322</v>
      </c>
      <c r="N146" s="37" t="str">
        <f t="shared" ca="1" si="14"/>
        <v>NO</v>
      </c>
      <c r="O146" s="38">
        <f t="shared" ca="1" si="15"/>
        <v>84</v>
      </c>
      <c r="P146" s="39" t="str">
        <f t="shared" ca="1" si="16"/>
        <v>CALIBRADO</v>
      </c>
      <c r="Q146" t="s">
        <v>348</v>
      </c>
    </row>
    <row r="147" spans="1:18" x14ac:dyDescent="0.3">
      <c r="A147" s="102" t="s">
        <v>50</v>
      </c>
      <c r="B147" s="102" t="s">
        <v>78</v>
      </c>
      <c r="C147" s="102" t="s">
        <v>82</v>
      </c>
      <c r="D147" s="108" t="s">
        <v>51</v>
      </c>
      <c r="E147" s="64">
        <v>17889</v>
      </c>
      <c r="F147" s="121">
        <f t="shared" si="17"/>
        <v>44042</v>
      </c>
      <c r="G147" s="100">
        <v>44407</v>
      </c>
      <c r="H147" s="101" t="s">
        <v>28</v>
      </c>
      <c r="I147" s="101" t="s">
        <v>19</v>
      </c>
      <c r="J147" s="102" t="s">
        <v>46</v>
      </c>
      <c r="K147" s="103">
        <v>44270</v>
      </c>
      <c r="L147" s="98" t="s">
        <v>313</v>
      </c>
      <c r="M147" s="109">
        <f t="shared" ca="1" si="13"/>
        <v>44322</v>
      </c>
      <c r="N147" s="110" t="str">
        <f t="shared" ca="1" si="14"/>
        <v>NO</v>
      </c>
      <c r="O147" s="111">
        <f t="shared" ca="1" si="15"/>
        <v>85</v>
      </c>
      <c r="P147" s="112" t="str">
        <f t="shared" ca="1" si="16"/>
        <v>CALIBRADO</v>
      </c>
      <c r="Q147" s="92" t="s">
        <v>492</v>
      </c>
      <c r="R147" s="114" t="s">
        <v>500</v>
      </c>
    </row>
    <row r="148" spans="1:18" x14ac:dyDescent="0.3">
      <c r="A148" s="102" t="s">
        <v>50</v>
      </c>
      <c r="B148" s="102" t="s">
        <v>78</v>
      </c>
      <c r="C148" s="102" t="s">
        <v>98</v>
      </c>
      <c r="D148" s="108" t="s">
        <v>41</v>
      </c>
      <c r="E148" s="64" t="s">
        <v>182</v>
      </c>
      <c r="F148" s="121">
        <f t="shared" si="17"/>
        <v>44185</v>
      </c>
      <c r="G148" s="100">
        <v>44550</v>
      </c>
      <c r="H148" s="101" t="s">
        <v>28</v>
      </c>
      <c r="I148" s="101" t="s">
        <v>19</v>
      </c>
      <c r="J148" s="102" t="s">
        <v>46</v>
      </c>
      <c r="K148" s="103">
        <v>44270</v>
      </c>
      <c r="L148" s="98" t="s">
        <v>313</v>
      </c>
      <c r="M148" s="109">
        <f t="shared" ca="1" si="13"/>
        <v>44322</v>
      </c>
      <c r="N148" s="110" t="str">
        <f t="shared" ca="1" si="14"/>
        <v>NO</v>
      </c>
      <c r="O148" s="111">
        <f t="shared" ca="1" si="15"/>
        <v>228</v>
      </c>
      <c r="P148" s="112" t="str">
        <f t="shared" ca="1" si="16"/>
        <v>CALIBRADO</v>
      </c>
      <c r="Q148" s="92" t="s">
        <v>491</v>
      </c>
      <c r="R148" s="114" t="s">
        <v>500</v>
      </c>
    </row>
    <row r="149" spans="1:18" x14ac:dyDescent="0.3">
      <c r="A149" t="s">
        <v>32</v>
      </c>
      <c r="B149" t="s">
        <v>36</v>
      </c>
      <c r="C149" t="s">
        <v>98</v>
      </c>
      <c r="D149" s="8" t="s">
        <v>41</v>
      </c>
      <c r="E149" s="10" t="s">
        <v>189</v>
      </c>
      <c r="F149" s="119">
        <f t="shared" si="17"/>
        <v>43899</v>
      </c>
      <c r="G149" s="4">
        <v>44264</v>
      </c>
      <c r="H149" s="2" t="s">
        <v>28</v>
      </c>
      <c r="I149" s="2" t="s">
        <v>19</v>
      </c>
      <c r="J149" t="s">
        <v>46</v>
      </c>
      <c r="K149" s="7">
        <v>44270</v>
      </c>
      <c r="L149" s="3" t="s">
        <v>313</v>
      </c>
      <c r="M149" s="36">
        <f t="shared" ca="1" si="13"/>
        <v>44322</v>
      </c>
      <c r="N149" s="37" t="str">
        <f t="shared" ca="1" si="14"/>
        <v>SI</v>
      </c>
      <c r="O149" s="38">
        <f t="shared" ca="1" si="15"/>
        <v>-58</v>
      </c>
      <c r="P149" s="39" t="str">
        <f t="shared" ca="1" si="16"/>
        <v>DESCALIBRADO</v>
      </c>
      <c r="Q149" t="s">
        <v>348</v>
      </c>
    </row>
    <row r="150" spans="1:18" x14ac:dyDescent="0.3">
      <c r="A150" t="s">
        <v>32</v>
      </c>
      <c r="B150" t="s">
        <v>36</v>
      </c>
      <c r="C150" t="s">
        <v>82</v>
      </c>
      <c r="D150" s="8" t="s">
        <v>136</v>
      </c>
      <c r="E150" s="10" t="s">
        <v>186</v>
      </c>
      <c r="F150" s="119">
        <f t="shared" si="17"/>
        <v>44049</v>
      </c>
      <c r="G150" s="4">
        <v>44414</v>
      </c>
      <c r="H150" s="2" t="s">
        <v>28</v>
      </c>
      <c r="I150" s="2" t="s">
        <v>19</v>
      </c>
      <c r="J150" t="s">
        <v>46</v>
      </c>
      <c r="K150" s="7">
        <v>44270</v>
      </c>
      <c r="L150" s="3" t="s">
        <v>313</v>
      </c>
      <c r="M150" s="36">
        <f t="shared" ca="1" si="13"/>
        <v>44322</v>
      </c>
      <c r="N150" s="37" t="str">
        <f t="shared" ca="1" si="14"/>
        <v>NO</v>
      </c>
      <c r="O150" s="38">
        <f t="shared" ca="1" si="15"/>
        <v>92</v>
      </c>
      <c r="P150" s="39" t="str">
        <f t="shared" ca="1" si="16"/>
        <v>CALIBRADO</v>
      </c>
      <c r="Q150" t="s">
        <v>348</v>
      </c>
    </row>
    <row r="151" spans="1:18" x14ac:dyDescent="0.3">
      <c r="A151" t="s">
        <v>32</v>
      </c>
      <c r="B151" t="s">
        <v>36</v>
      </c>
      <c r="C151" t="s">
        <v>98</v>
      </c>
      <c r="D151" s="8" t="s">
        <v>41</v>
      </c>
      <c r="E151" s="10" t="s">
        <v>187</v>
      </c>
      <c r="F151" s="119">
        <f t="shared" si="17"/>
        <v>44062</v>
      </c>
      <c r="G151" s="4">
        <v>44427</v>
      </c>
      <c r="H151" s="2" t="s">
        <v>28</v>
      </c>
      <c r="I151" s="2" t="s">
        <v>19</v>
      </c>
      <c r="J151" t="s">
        <v>46</v>
      </c>
      <c r="K151" s="7">
        <v>44270</v>
      </c>
      <c r="L151" s="3" t="s">
        <v>313</v>
      </c>
      <c r="M151" s="36">
        <f t="shared" ca="1" si="13"/>
        <v>44322</v>
      </c>
      <c r="N151" s="37" t="str">
        <f t="shared" ca="1" si="14"/>
        <v>NO</v>
      </c>
      <c r="O151" s="38">
        <f t="shared" ca="1" si="15"/>
        <v>105</v>
      </c>
      <c r="P151" s="39" t="str">
        <f t="shared" ca="1" si="16"/>
        <v>CALIBRADO</v>
      </c>
      <c r="Q151" t="s">
        <v>348</v>
      </c>
    </row>
    <row r="152" spans="1:18" x14ac:dyDescent="0.3">
      <c r="A152" t="s">
        <v>32</v>
      </c>
      <c r="B152" t="s">
        <v>36</v>
      </c>
      <c r="C152" t="s">
        <v>64</v>
      </c>
      <c r="D152" s="8" t="s">
        <v>125</v>
      </c>
      <c r="E152" s="10">
        <v>16159068</v>
      </c>
      <c r="F152" s="119">
        <f t="shared" si="17"/>
        <v>44113</v>
      </c>
      <c r="G152" s="4">
        <v>44478</v>
      </c>
      <c r="H152" s="2" t="s">
        <v>28</v>
      </c>
      <c r="I152" s="2" t="s">
        <v>19</v>
      </c>
      <c r="J152" t="s">
        <v>46</v>
      </c>
      <c r="K152" s="7">
        <v>44270</v>
      </c>
      <c r="L152" s="3" t="s">
        <v>313</v>
      </c>
      <c r="M152" s="36">
        <f t="shared" ca="1" si="13"/>
        <v>44322</v>
      </c>
      <c r="N152" s="37" t="str">
        <f t="shared" ca="1" si="14"/>
        <v>NO</v>
      </c>
      <c r="O152" s="38">
        <f t="shared" ca="1" si="15"/>
        <v>156</v>
      </c>
      <c r="P152" s="39" t="str">
        <f t="shared" ca="1" si="16"/>
        <v>CALIBRADO</v>
      </c>
      <c r="Q152" t="s">
        <v>348</v>
      </c>
    </row>
    <row r="153" spans="1:18" x14ac:dyDescent="0.3">
      <c r="A153" t="s">
        <v>25</v>
      </c>
      <c r="B153" t="s">
        <v>65</v>
      </c>
      <c r="C153" t="s">
        <v>98</v>
      </c>
      <c r="D153" s="8" t="s">
        <v>41</v>
      </c>
      <c r="E153" s="10" t="s">
        <v>191</v>
      </c>
      <c r="F153" s="119">
        <f t="shared" si="17"/>
        <v>43949</v>
      </c>
      <c r="G153" s="4">
        <v>44314</v>
      </c>
      <c r="H153" s="2" t="s">
        <v>28</v>
      </c>
      <c r="I153" s="2" t="s">
        <v>19</v>
      </c>
      <c r="J153" t="s">
        <v>46</v>
      </c>
      <c r="K153" s="7">
        <v>44270</v>
      </c>
      <c r="L153" s="3" t="s">
        <v>313</v>
      </c>
      <c r="M153" s="36">
        <f t="shared" ca="1" si="13"/>
        <v>44322</v>
      </c>
      <c r="N153" s="37" t="str">
        <f t="shared" ca="1" si="14"/>
        <v>SI</v>
      </c>
      <c r="O153" s="38">
        <f t="shared" ca="1" si="15"/>
        <v>-8</v>
      </c>
      <c r="P153" s="39" t="str">
        <f t="shared" ca="1" si="16"/>
        <v>DESCALIBRADO</v>
      </c>
      <c r="Q153" s="86" t="s">
        <v>431</v>
      </c>
      <c r="R153" t="s">
        <v>476</v>
      </c>
    </row>
    <row r="154" spans="1:18" x14ac:dyDescent="0.3">
      <c r="A154" t="s">
        <v>25</v>
      </c>
      <c r="B154" t="s">
        <v>65</v>
      </c>
      <c r="C154" t="s">
        <v>82</v>
      </c>
      <c r="D154" s="8" t="s">
        <v>190</v>
      </c>
      <c r="E154" s="10">
        <v>17010437</v>
      </c>
      <c r="F154" s="119">
        <f t="shared" si="17"/>
        <v>44179</v>
      </c>
      <c r="G154" s="4">
        <v>44544</v>
      </c>
      <c r="H154" s="2" t="s">
        <v>28</v>
      </c>
      <c r="I154" s="2" t="s">
        <v>19</v>
      </c>
      <c r="J154" t="s">
        <v>46</v>
      </c>
      <c r="K154" s="7">
        <v>44270</v>
      </c>
      <c r="L154" s="3" t="s">
        <v>313</v>
      </c>
      <c r="M154" s="36">
        <f t="shared" ca="1" si="13"/>
        <v>44322</v>
      </c>
      <c r="N154" s="37" t="str">
        <f t="shared" ca="1" si="14"/>
        <v>NO</v>
      </c>
      <c r="O154" s="38">
        <f t="shared" ca="1" si="15"/>
        <v>222</v>
      </c>
      <c r="P154" s="39" t="str">
        <f t="shared" ca="1" si="16"/>
        <v>CALIBRADO</v>
      </c>
      <c r="Q154" s="86" t="s">
        <v>432</v>
      </c>
      <c r="R154" t="s">
        <v>476</v>
      </c>
    </row>
    <row r="155" spans="1:18" x14ac:dyDescent="0.3">
      <c r="A155" t="s">
        <v>25</v>
      </c>
      <c r="B155" t="s">
        <v>65</v>
      </c>
      <c r="C155" t="s">
        <v>64</v>
      </c>
      <c r="D155" s="8" t="s">
        <v>22</v>
      </c>
      <c r="E155" s="10" t="s">
        <v>305</v>
      </c>
      <c r="F155" s="119">
        <f t="shared" si="17"/>
        <v>44187</v>
      </c>
      <c r="G155" s="4">
        <v>44552</v>
      </c>
      <c r="H155" s="2" t="s">
        <v>28</v>
      </c>
      <c r="I155" s="2" t="s">
        <v>19</v>
      </c>
      <c r="J155" t="s">
        <v>46</v>
      </c>
      <c r="K155" s="7">
        <v>44270</v>
      </c>
      <c r="L155" s="3" t="s">
        <v>313</v>
      </c>
      <c r="M155" s="36">
        <f t="shared" ca="1" si="13"/>
        <v>44322</v>
      </c>
      <c r="N155" s="37" t="str">
        <f t="shared" ca="1" si="14"/>
        <v>NO</v>
      </c>
      <c r="O155" s="38">
        <f t="shared" ca="1" si="15"/>
        <v>230</v>
      </c>
      <c r="P155" s="39" t="str">
        <f t="shared" ca="1" si="16"/>
        <v>CALIBRADO</v>
      </c>
      <c r="Q155" s="86" t="s">
        <v>433</v>
      </c>
      <c r="R155" t="s">
        <v>476</v>
      </c>
    </row>
    <row r="156" spans="1:18" x14ac:dyDescent="0.3">
      <c r="A156" t="s">
        <v>38</v>
      </c>
      <c r="B156" t="s">
        <v>63</v>
      </c>
      <c r="C156" t="s">
        <v>98</v>
      </c>
      <c r="D156" s="8" t="s">
        <v>66</v>
      </c>
      <c r="E156" s="10">
        <v>905250</v>
      </c>
      <c r="F156" s="119">
        <f t="shared" si="17"/>
        <v>43902</v>
      </c>
      <c r="G156" s="4">
        <v>44267</v>
      </c>
      <c r="H156" s="2" t="s">
        <v>28</v>
      </c>
      <c r="I156" s="2" t="s">
        <v>19</v>
      </c>
      <c r="J156" t="s">
        <v>46</v>
      </c>
      <c r="K156" s="7">
        <v>44270</v>
      </c>
      <c r="L156" s="3" t="s">
        <v>313</v>
      </c>
      <c r="M156" s="36">
        <f t="shared" ca="1" si="13"/>
        <v>44322</v>
      </c>
      <c r="N156" s="37" t="str">
        <f t="shared" ca="1" si="14"/>
        <v>SI</v>
      </c>
      <c r="O156" s="38">
        <f t="shared" ca="1" si="15"/>
        <v>-55</v>
      </c>
      <c r="P156" s="39" t="str">
        <f t="shared" ca="1" si="16"/>
        <v>DESCALIBRADO</v>
      </c>
      <c r="Q156" t="s">
        <v>348</v>
      </c>
      <c r="R156" s="90" t="s">
        <v>375</v>
      </c>
    </row>
    <row r="157" spans="1:18" x14ac:dyDescent="0.3">
      <c r="A157" t="s">
        <v>38</v>
      </c>
      <c r="B157" t="s">
        <v>63</v>
      </c>
      <c r="C157" t="s">
        <v>98</v>
      </c>
      <c r="D157" s="8" t="s">
        <v>66</v>
      </c>
      <c r="E157" s="10">
        <v>897380</v>
      </c>
      <c r="F157" s="119">
        <f t="shared" si="17"/>
        <v>43902</v>
      </c>
      <c r="G157" s="4">
        <v>44267</v>
      </c>
      <c r="H157" s="2" t="s">
        <v>28</v>
      </c>
      <c r="I157" s="2" t="s">
        <v>19</v>
      </c>
      <c r="J157" t="s">
        <v>46</v>
      </c>
      <c r="K157" s="7">
        <v>44270</v>
      </c>
      <c r="L157" s="3" t="s">
        <v>313</v>
      </c>
      <c r="M157" s="36">
        <f t="shared" ca="1" si="13"/>
        <v>44322</v>
      </c>
      <c r="N157" s="37" t="str">
        <f t="shared" ca="1" si="14"/>
        <v>SI</v>
      </c>
      <c r="O157" s="38">
        <f t="shared" ca="1" si="15"/>
        <v>-55</v>
      </c>
      <c r="P157" s="39" t="str">
        <f t="shared" ca="1" si="16"/>
        <v>DESCALIBRADO</v>
      </c>
      <c r="Q157" t="s">
        <v>348</v>
      </c>
    </row>
    <row r="158" spans="1:18" x14ac:dyDescent="0.3">
      <c r="A158" t="s">
        <v>38</v>
      </c>
      <c r="B158" t="s">
        <v>63</v>
      </c>
      <c r="C158" t="s">
        <v>64</v>
      </c>
      <c r="D158" s="8" t="s">
        <v>96</v>
      </c>
      <c r="E158" s="10" t="s">
        <v>193</v>
      </c>
      <c r="F158" s="119">
        <f t="shared" si="17"/>
        <v>43909</v>
      </c>
      <c r="G158" s="4">
        <v>44274</v>
      </c>
      <c r="H158" s="2" t="s">
        <v>28</v>
      </c>
      <c r="I158" s="2" t="s">
        <v>19</v>
      </c>
      <c r="J158" t="s">
        <v>46</v>
      </c>
      <c r="K158" s="7">
        <v>44270</v>
      </c>
      <c r="L158" s="3" t="s">
        <v>313</v>
      </c>
      <c r="M158" s="36">
        <f t="shared" ca="1" si="13"/>
        <v>44322</v>
      </c>
      <c r="N158" s="37" t="str">
        <f t="shared" ca="1" si="14"/>
        <v>SI</v>
      </c>
      <c r="O158" s="38">
        <f t="shared" ca="1" si="15"/>
        <v>-48</v>
      </c>
      <c r="P158" s="39" t="str">
        <f t="shared" ca="1" si="16"/>
        <v>DESCALIBRADO</v>
      </c>
      <c r="Q158" t="s">
        <v>348</v>
      </c>
      <c r="R158" s="86" t="s">
        <v>376</v>
      </c>
    </row>
    <row r="159" spans="1:18" x14ac:dyDescent="0.3">
      <c r="A159" t="s">
        <v>38</v>
      </c>
      <c r="B159" t="s">
        <v>63</v>
      </c>
      <c r="C159" t="s">
        <v>82</v>
      </c>
      <c r="D159" s="8" t="s">
        <v>51</v>
      </c>
      <c r="E159" s="10" t="s">
        <v>192</v>
      </c>
      <c r="F159" s="119">
        <f t="shared" si="17"/>
        <v>43910</v>
      </c>
      <c r="G159" s="4">
        <v>44275</v>
      </c>
      <c r="H159" s="2" t="s">
        <v>28</v>
      </c>
      <c r="I159" s="2" t="s">
        <v>19</v>
      </c>
      <c r="J159" t="s">
        <v>46</v>
      </c>
      <c r="K159" s="7">
        <v>44270</v>
      </c>
      <c r="L159" s="3" t="s">
        <v>313</v>
      </c>
      <c r="M159" s="36">
        <f t="shared" ca="1" si="13"/>
        <v>44322</v>
      </c>
      <c r="N159" s="37" t="str">
        <f t="shared" ca="1" si="14"/>
        <v>SI</v>
      </c>
      <c r="O159" s="38">
        <f t="shared" ca="1" si="15"/>
        <v>-47</v>
      </c>
      <c r="P159" s="39" t="str">
        <f t="shared" ca="1" si="16"/>
        <v>DESCALIBRADO</v>
      </c>
      <c r="Q159" t="s">
        <v>348</v>
      </c>
    </row>
    <row r="160" spans="1:18" x14ac:dyDescent="0.3">
      <c r="A160" t="s">
        <v>47</v>
      </c>
      <c r="B160" t="s">
        <v>72</v>
      </c>
      <c r="C160" t="s">
        <v>98</v>
      </c>
      <c r="D160" s="8" t="s">
        <v>41</v>
      </c>
      <c r="E160" s="10" t="s">
        <v>194</v>
      </c>
      <c r="F160" s="119">
        <f t="shared" si="17"/>
        <v>43984</v>
      </c>
      <c r="G160" s="4">
        <v>44349</v>
      </c>
      <c r="H160" s="2" t="s">
        <v>28</v>
      </c>
      <c r="I160" s="2" t="s">
        <v>19</v>
      </c>
      <c r="J160" t="s">
        <v>46</v>
      </c>
      <c r="K160" s="7">
        <v>44270</v>
      </c>
      <c r="L160" s="3" t="s">
        <v>313</v>
      </c>
      <c r="M160" s="36">
        <f t="shared" ca="1" si="13"/>
        <v>44322</v>
      </c>
      <c r="N160" s="37" t="str">
        <f t="shared" ca="1" si="14"/>
        <v>NO</v>
      </c>
      <c r="O160" s="38">
        <f t="shared" ca="1" si="15"/>
        <v>27</v>
      </c>
      <c r="P160" s="39" t="str">
        <f t="shared" ca="1" si="16"/>
        <v>CALIBRADO</v>
      </c>
      <c r="Q160" t="s">
        <v>348</v>
      </c>
    </row>
    <row r="161" spans="1:18" x14ac:dyDescent="0.3">
      <c r="A161" t="s">
        <v>47</v>
      </c>
      <c r="B161" t="s">
        <v>72</v>
      </c>
      <c r="C161" t="s">
        <v>82</v>
      </c>
      <c r="D161" s="8" t="s">
        <v>83</v>
      </c>
      <c r="E161" s="93" t="s">
        <v>372</v>
      </c>
      <c r="F161" s="120">
        <f t="shared" si="17"/>
        <v>44040</v>
      </c>
      <c r="G161" s="4">
        <v>44405</v>
      </c>
      <c r="H161" s="2" t="s">
        <v>28</v>
      </c>
      <c r="I161" s="2" t="s">
        <v>19</v>
      </c>
      <c r="J161" t="s">
        <v>46</v>
      </c>
      <c r="K161" s="7">
        <v>44270</v>
      </c>
      <c r="L161" s="3" t="s">
        <v>313</v>
      </c>
      <c r="M161" s="36">
        <f t="shared" ca="1" si="13"/>
        <v>44322</v>
      </c>
      <c r="N161" s="37" t="str">
        <f t="shared" ca="1" si="14"/>
        <v>NO</v>
      </c>
      <c r="O161" s="38">
        <f t="shared" ca="1" si="15"/>
        <v>83</v>
      </c>
      <c r="P161" s="39" t="str">
        <f t="shared" ca="1" si="16"/>
        <v>CALIBRADO</v>
      </c>
      <c r="Q161" s="86" t="s">
        <v>373</v>
      </c>
      <c r="R161" t="s">
        <v>476</v>
      </c>
    </row>
    <row r="162" spans="1:18" x14ac:dyDescent="0.3">
      <c r="A162" t="s">
        <v>47</v>
      </c>
      <c r="B162" t="s">
        <v>72</v>
      </c>
      <c r="C162" t="s">
        <v>82</v>
      </c>
      <c r="D162" s="8" t="s">
        <v>195</v>
      </c>
      <c r="E162" s="10" t="s">
        <v>196</v>
      </c>
      <c r="F162" s="119">
        <f t="shared" si="17"/>
        <v>44040</v>
      </c>
      <c r="G162" s="4">
        <v>44405</v>
      </c>
      <c r="H162" s="2" t="s">
        <v>28</v>
      </c>
      <c r="I162" s="2" t="s">
        <v>19</v>
      </c>
      <c r="J162" t="s">
        <v>46</v>
      </c>
      <c r="K162" s="7">
        <v>44270</v>
      </c>
      <c r="L162" s="3" t="s">
        <v>313</v>
      </c>
      <c r="M162" s="36">
        <f t="shared" ca="1" si="13"/>
        <v>44322</v>
      </c>
      <c r="N162" s="37" t="str">
        <f t="shared" ca="1" si="14"/>
        <v>NO</v>
      </c>
      <c r="O162" s="38">
        <f t="shared" ca="1" si="15"/>
        <v>83</v>
      </c>
      <c r="P162" s="39" t="str">
        <f t="shared" ca="1" si="16"/>
        <v>CALIBRADO</v>
      </c>
      <c r="Q162" s="86" t="s">
        <v>370</v>
      </c>
      <c r="R162" t="s">
        <v>476</v>
      </c>
    </row>
    <row r="163" spans="1:18" x14ac:dyDescent="0.3">
      <c r="A163" t="s">
        <v>47</v>
      </c>
      <c r="B163" t="s">
        <v>72</v>
      </c>
      <c r="C163" t="s">
        <v>64</v>
      </c>
      <c r="D163" s="8" t="s">
        <v>22</v>
      </c>
      <c r="E163" s="10" t="s">
        <v>197</v>
      </c>
      <c r="F163" s="119">
        <f t="shared" si="17"/>
        <v>44040</v>
      </c>
      <c r="G163" s="4">
        <v>44405</v>
      </c>
      <c r="H163" s="2" t="s">
        <v>28</v>
      </c>
      <c r="I163" s="2" t="s">
        <v>19</v>
      </c>
      <c r="J163" t="s">
        <v>46</v>
      </c>
      <c r="K163" s="7">
        <v>44270</v>
      </c>
      <c r="L163" s="3" t="s">
        <v>313</v>
      </c>
      <c r="M163" s="36">
        <f t="shared" ca="1" si="13"/>
        <v>44322</v>
      </c>
      <c r="N163" s="37" t="str">
        <f t="shared" ca="1" si="14"/>
        <v>NO</v>
      </c>
      <c r="O163" s="38">
        <f t="shared" ca="1" si="15"/>
        <v>83</v>
      </c>
      <c r="P163" s="39" t="str">
        <f t="shared" ca="1" si="16"/>
        <v>CALIBRADO</v>
      </c>
      <c r="Q163" s="86" t="s">
        <v>374</v>
      </c>
      <c r="R163" t="s">
        <v>476</v>
      </c>
    </row>
    <row r="164" spans="1:18" x14ac:dyDescent="0.3">
      <c r="A164" t="s">
        <v>47</v>
      </c>
      <c r="B164" t="s">
        <v>72</v>
      </c>
      <c r="C164" t="s">
        <v>98</v>
      </c>
      <c r="D164" s="8" t="s">
        <v>41</v>
      </c>
      <c r="E164" s="93" t="s">
        <v>368</v>
      </c>
      <c r="F164" s="120">
        <f t="shared" si="17"/>
        <v>44181</v>
      </c>
      <c r="G164" s="4">
        <v>44546</v>
      </c>
      <c r="H164" s="2" t="s">
        <v>28</v>
      </c>
      <c r="I164" s="2" t="s">
        <v>19</v>
      </c>
      <c r="J164" t="s">
        <v>46</v>
      </c>
      <c r="K164" s="7">
        <v>44270</v>
      </c>
      <c r="L164" s="3" t="s">
        <v>313</v>
      </c>
      <c r="M164" s="36">
        <f t="shared" ca="1" si="13"/>
        <v>44322</v>
      </c>
      <c r="N164" s="37" t="str">
        <f t="shared" ca="1" si="14"/>
        <v>NO</v>
      </c>
      <c r="O164" s="38">
        <f t="shared" ca="1" si="15"/>
        <v>224</v>
      </c>
      <c r="P164" s="39" t="str">
        <f t="shared" ca="1" si="16"/>
        <v>CALIBRADO</v>
      </c>
      <c r="Q164" s="86" t="s">
        <v>369</v>
      </c>
      <c r="R164" t="s">
        <v>476</v>
      </c>
    </row>
    <row r="165" spans="1:18" x14ac:dyDescent="0.3">
      <c r="A165" t="s">
        <v>32</v>
      </c>
      <c r="B165" t="s">
        <v>48</v>
      </c>
      <c r="C165" t="s">
        <v>98</v>
      </c>
      <c r="D165" s="8" t="s">
        <v>41</v>
      </c>
      <c r="E165" s="10" t="s">
        <v>206</v>
      </c>
      <c r="F165" s="119">
        <f t="shared" si="17"/>
        <v>43977</v>
      </c>
      <c r="G165" s="4">
        <v>44342</v>
      </c>
      <c r="H165" s="2" t="s">
        <v>28</v>
      </c>
      <c r="I165" s="2" t="s">
        <v>19</v>
      </c>
      <c r="J165" t="s">
        <v>46</v>
      </c>
      <c r="K165" s="7">
        <v>44270</v>
      </c>
      <c r="L165" s="3" t="s">
        <v>313</v>
      </c>
      <c r="M165" s="36">
        <f t="shared" ca="1" si="13"/>
        <v>44322</v>
      </c>
      <c r="N165" s="37" t="str">
        <f t="shared" ca="1" si="14"/>
        <v>NO</v>
      </c>
      <c r="O165" s="38">
        <f t="shared" ca="1" si="15"/>
        <v>20</v>
      </c>
      <c r="P165" s="39" t="str">
        <f t="shared" ca="1" si="16"/>
        <v>CALIBRADO</v>
      </c>
      <c r="Q165" s="86" t="s">
        <v>468</v>
      </c>
      <c r="R165" t="s">
        <v>476</v>
      </c>
    </row>
    <row r="166" spans="1:18" x14ac:dyDescent="0.3">
      <c r="A166" t="s">
        <v>32</v>
      </c>
      <c r="B166" t="s">
        <v>48</v>
      </c>
      <c r="C166" t="s">
        <v>98</v>
      </c>
      <c r="D166" s="8" t="s">
        <v>41</v>
      </c>
      <c r="E166" s="10" t="s">
        <v>204</v>
      </c>
      <c r="F166" s="119">
        <f t="shared" si="17"/>
        <v>44043</v>
      </c>
      <c r="G166" s="4">
        <v>44408</v>
      </c>
      <c r="H166" s="2" t="s">
        <v>28</v>
      </c>
      <c r="I166" s="2" t="s">
        <v>19</v>
      </c>
      <c r="J166" t="s">
        <v>46</v>
      </c>
      <c r="K166" s="7">
        <v>44270</v>
      </c>
      <c r="L166" s="3" t="s">
        <v>313</v>
      </c>
      <c r="M166" s="36">
        <f t="shared" ca="1" si="13"/>
        <v>44322</v>
      </c>
      <c r="N166" s="37" t="str">
        <f t="shared" ca="1" si="14"/>
        <v>NO</v>
      </c>
      <c r="O166" s="38">
        <f t="shared" ca="1" si="15"/>
        <v>86</v>
      </c>
      <c r="P166" s="39" t="str">
        <f t="shared" ca="1" si="16"/>
        <v>CALIBRADO</v>
      </c>
      <c r="Q166" s="86" t="s">
        <v>467</v>
      </c>
      <c r="R166" t="s">
        <v>476</v>
      </c>
    </row>
    <row r="167" spans="1:18" x14ac:dyDescent="0.3">
      <c r="A167" t="s">
        <v>32</v>
      </c>
      <c r="B167" t="s">
        <v>48</v>
      </c>
      <c r="C167" t="s">
        <v>98</v>
      </c>
      <c r="D167" s="8" t="s">
        <v>41</v>
      </c>
      <c r="E167" s="10">
        <v>4130053</v>
      </c>
      <c r="F167" s="119">
        <f t="shared" si="17"/>
        <v>44048</v>
      </c>
      <c r="G167" s="4">
        <v>44413</v>
      </c>
      <c r="H167" s="2" t="s">
        <v>28</v>
      </c>
      <c r="I167" s="2" t="s">
        <v>19</v>
      </c>
      <c r="J167" t="s">
        <v>46</v>
      </c>
      <c r="K167" s="7">
        <v>44270</v>
      </c>
      <c r="L167" s="3" t="s">
        <v>313</v>
      </c>
      <c r="M167" s="36">
        <f t="shared" ca="1" si="13"/>
        <v>44322</v>
      </c>
      <c r="N167" s="37" t="str">
        <f t="shared" ca="1" si="14"/>
        <v>NO</v>
      </c>
      <c r="O167" s="38">
        <f t="shared" ca="1" si="15"/>
        <v>91</v>
      </c>
      <c r="P167" s="39" t="str">
        <f t="shared" ca="1" si="16"/>
        <v>CALIBRADO</v>
      </c>
      <c r="Q167" s="86" t="s">
        <v>469</v>
      </c>
      <c r="R167" t="s">
        <v>476</v>
      </c>
    </row>
    <row r="168" spans="1:18" x14ac:dyDescent="0.3">
      <c r="A168" t="s">
        <v>32</v>
      </c>
      <c r="B168" t="s">
        <v>48</v>
      </c>
      <c r="C168" t="s">
        <v>98</v>
      </c>
      <c r="D168" s="8" t="s">
        <v>41</v>
      </c>
      <c r="E168" s="10" t="s">
        <v>207</v>
      </c>
      <c r="F168" s="119">
        <f t="shared" si="17"/>
        <v>44048</v>
      </c>
      <c r="G168" s="4">
        <v>44413</v>
      </c>
      <c r="H168" s="2" t="s">
        <v>28</v>
      </c>
      <c r="I168" s="2" t="s">
        <v>19</v>
      </c>
      <c r="J168" t="s">
        <v>46</v>
      </c>
      <c r="K168" s="7">
        <v>44270</v>
      </c>
      <c r="L168" s="3" t="s">
        <v>313</v>
      </c>
      <c r="M168" s="36">
        <f t="shared" ca="1" si="13"/>
        <v>44322</v>
      </c>
      <c r="N168" s="37" t="str">
        <f t="shared" ca="1" si="14"/>
        <v>NO</v>
      </c>
      <c r="O168" s="38">
        <f t="shared" ca="1" si="15"/>
        <v>91</v>
      </c>
      <c r="P168" s="39" t="str">
        <f t="shared" ca="1" si="16"/>
        <v>CALIBRADO</v>
      </c>
      <c r="Q168" s="86" t="s">
        <v>470</v>
      </c>
      <c r="R168" t="s">
        <v>476</v>
      </c>
    </row>
    <row r="169" spans="1:18" x14ac:dyDescent="0.3">
      <c r="A169" t="s">
        <v>32</v>
      </c>
      <c r="B169" t="s">
        <v>48</v>
      </c>
      <c r="C169" t="s">
        <v>98</v>
      </c>
      <c r="D169" s="8" t="s">
        <v>41</v>
      </c>
      <c r="E169" s="10" t="s">
        <v>208</v>
      </c>
      <c r="F169" s="119">
        <f t="shared" si="17"/>
        <v>44048</v>
      </c>
      <c r="G169" s="4">
        <v>44413</v>
      </c>
      <c r="H169" s="2" t="s">
        <v>28</v>
      </c>
      <c r="I169" s="2" t="s">
        <v>19</v>
      </c>
      <c r="J169" t="s">
        <v>46</v>
      </c>
      <c r="K169" s="7">
        <v>44270</v>
      </c>
      <c r="L169" s="3" t="s">
        <v>313</v>
      </c>
      <c r="M169" s="36">
        <f t="shared" ca="1" si="13"/>
        <v>44322</v>
      </c>
      <c r="N169" s="37" t="str">
        <f t="shared" ca="1" si="14"/>
        <v>NO</v>
      </c>
      <c r="O169" s="38">
        <f t="shared" ca="1" si="15"/>
        <v>91</v>
      </c>
      <c r="P169" s="39" t="str">
        <f t="shared" ca="1" si="16"/>
        <v>CALIBRADO</v>
      </c>
      <c r="Q169" s="86" t="s">
        <v>471</v>
      </c>
      <c r="R169" t="s">
        <v>476</v>
      </c>
    </row>
    <row r="170" spans="1:18" x14ac:dyDescent="0.3">
      <c r="A170" t="s">
        <v>32</v>
      </c>
      <c r="B170" t="s">
        <v>48</v>
      </c>
      <c r="C170" t="s">
        <v>98</v>
      </c>
      <c r="D170" s="8" t="s">
        <v>41</v>
      </c>
      <c r="E170" s="10" t="s">
        <v>209</v>
      </c>
      <c r="F170" s="119">
        <f t="shared" si="17"/>
        <v>44048</v>
      </c>
      <c r="G170" s="4">
        <v>44413</v>
      </c>
      <c r="H170" s="2" t="s">
        <v>28</v>
      </c>
      <c r="I170" s="2" t="s">
        <v>19</v>
      </c>
      <c r="J170" t="s">
        <v>46</v>
      </c>
      <c r="K170" s="7">
        <v>44270</v>
      </c>
      <c r="L170" s="3" t="s">
        <v>313</v>
      </c>
      <c r="M170" s="36">
        <f t="shared" ref="M170:M232" ca="1" si="18">TODAY()</f>
        <v>44322</v>
      </c>
      <c r="N170" s="37" t="str">
        <f t="shared" ca="1" si="14"/>
        <v>NO</v>
      </c>
      <c r="O170" s="38">
        <f t="shared" ca="1" si="15"/>
        <v>91</v>
      </c>
      <c r="P170" s="39" t="str">
        <f t="shared" ca="1" si="16"/>
        <v>CALIBRADO</v>
      </c>
      <c r="Q170" t="s">
        <v>348</v>
      </c>
    </row>
    <row r="171" spans="1:18" x14ac:dyDescent="0.3">
      <c r="A171" t="s">
        <v>32</v>
      </c>
      <c r="B171" t="s">
        <v>48</v>
      </c>
      <c r="C171" t="s">
        <v>82</v>
      </c>
      <c r="D171" s="8" t="s">
        <v>136</v>
      </c>
      <c r="E171" s="10" t="s">
        <v>199</v>
      </c>
      <c r="F171" s="119">
        <f t="shared" si="17"/>
        <v>44051</v>
      </c>
      <c r="G171" s="4">
        <v>44416</v>
      </c>
      <c r="H171" s="2" t="s">
        <v>28</v>
      </c>
      <c r="I171" s="2" t="s">
        <v>19</v>
      </c>
      <c r="J171" t="s">
        <v>46</v>
      </c>
      <c r="K171" s="7">
        <v>44270</v>
      </c>
      <c r="L171" s="3" t="s">
        <v>313</v>
      </c>
      <c r="M171" s="36">
        <f t="shared" ca="1" si="18"/>
        <v>44322</v>
      </c>
      <c r="N171" s="37" t="str">
        <f t="shared" ca="1" si="14"/>
        <v>NO</v>
      </c>
      <c r="O171" s="38">
        <f t="shared" ca="1" si="15"/>
        <v>94</v>
      </c>
      <c r="P171" s="39" t="str">
        <f t="shared" ca="1" si="16"/>
        <v>CALIBRADO</v>
      </c>
      <c r="Q171" t="s">
        <v>348</v>
      </c>
    </row>
    <row r="172" spans="1:18" x14ac:dyDescent="0.3">
      <c r="A172" t="s">
        <v>32</v>
      </c>
      <c r="B172" t="s">
        <v>48</v>
      </c>
      <c r="C172" t="s">
        <v>82</v>
      </c>
      <c r="D172" s="8" t="s">
        <v>136</v>
      </c>
      <c r="E172" s="10" t="s">
        <v>200</v>
      </c>
      <c r="F172" s="119">
        <f t="shared" si="17"/>
        <v>44053</v>
      </c>
      <c r="G172" s="4">
        <v>44418</v>
      </c>
      <c r="H172" s="2" t="s">
        <v>28</v>
      </c>
      <c r="I172" s="2" t="s">
        <v>19</v>
      </c>
      <c r="J172" t="s">
        <v>46</v>
      </c>
      <c r="K172" s="7">
        <v>44270</v>
      </c>
      <c r="L172" s="3" t="s">
        <v>313</v>
      </c>
      <c r="M172" s="36">
        <f t="shared" ca="1" si="18"/>
        <v>44322</v>
      </c>
      <c r="N172" s="37" t="str">
        <f t="shared" ca="1" si="14"/>
        <v>NO</v>
      </c>
      <c r="O172" s="38">
        <f t="shared" ca="1" si="15"/>
        <v>96</v>
      </c>
      <c r="P172" s="39" t="str">
        <f t="shared" ca="1" si="16"/>
        <v>CALIBRADO</v>
      </c>
      <c r="Q172" t="s">
        <v>348</v>
      </c>
    </row>
    <row r="173" spans="1:18" x14ac:dyDescent="0.3">
      <c r="A173" t="s">
        <v>32</v>
      </c>
      <c r="B173" t="s">
        <v>48</v>
      </c>
      <c r="C173" t="s">
        <v>149</v>
      </c>
      <c r="D173" s="8" t="s">
        <v>211</v>
      </c>
      <c r="E173" s="10" t="s">
        <v>212</v>
      </c>
      <c r="F173" s="119">
        <f t="shared" si="17"/>
        <v>44061</v>
      </c>
      <c r="G173" s="4">
        <v>44426</v>
      </c>
      <c r="H173" s="2" t="s">
        <v>28</v>
      </c>
      <c r="I173" s="2" t="s">
        <v>19</v>
      </c>
      <c r="J173" t="s">
        <v>46</v>
      </c>
      <c r="K173" s="7">
        <v>44270</v>
      </c>
      <c r="L173" s="3" t="s">
        <v>313</v>
      </c>
      <c r="M173" s="36">
        <f t="shared" ca="1" si="18"/>
        <v>44322</v>
      </c>
      <c r="N173" s="37" t="str">
        <f t="shared" ca="1" si="14"/>
        <v>NO</v>
      </c>
      <c r="O173" s="38">
        <f t="shared" ca="1" si="15"/>
        <v>104</v>
      </c>
      <c r="P173" s="39" t="str">
        <f t="shared" ca="1" si="16"/>
        <v>CALIBRADO</v>
      </c>
      <c r="Q173" t="s">
        <v>348</v>
      </c>
    </row>
    <row r="174" spans="1:18" x14ac:dyDescent="0.3">
      <c r="A174" t="s">
        <v>32</v>
      </c>
      <c r="B174" t="s">
        <v>48</v>
      </c>
      <c r="C174" t="s">
        <v>98</v>
      </c>
      <c r="D174" s="8" t="s">
        <v>41</v>
      </c>
      <c r="E174" s="10" t="s">
        <v>205</v>
      </c>
      <c r="F174" s="119">
        <f t="shared" si="17"/>
        <v>44062</v>
      </c>
      <c r="G174" s="4">
        <v>44427</v>
      </c>
      <c r="H174" s="2" t="s">
        <v>28</v>
      </c>
      <c r="I174" s="2" t="s">
        <v>19</v>
      </c>
      <c r="J174" t="s">
        <v>46</v>
      </c>
      <c r="K174" s="7">
        <v>44270</v>
      </c>
      <c r="L174" s="3" t="s">
        <v>313</v>
      </c>
      <c r="M174" s="36">
        <f t="shared" ca="1" si="18"/>
        <v>44322</v>
      </c>
      <c r="N174" s="37" t="str">
        <f t="shared" ca="1" si="14"/>
        <v>NO</v>
      </c>
      <c r="O174" s="38">
        <f t="shared" ca="1" si="15"/>
        <v>105</v>
      </c>
      <c r="P174" s="39" t="str">
        <f t="shared" ca="1" si="16"/>
        <v>CALIBRADO</v>
      </c>
      <c r="Q174" t="s">
        <v>348</v>
      </c>
    </row>
    <row r="175" spans="1:18" x14ac:dyDescent="0.3">
      <c r="A175" t="s">
        <v>32</v>
      </c>
      <c r="B175" t="s">
        <v>48</v>
      </c>
      <c r="C175" t="s">
        <v>98</v>
      </c>
      <c r="D175" s="8" t="s">
        <v>41</v>
      </c>
      <c r="E175" s="10" t="s">
        <v>210</v>
      </c>
      <c r="F175" s="119">
        <f t="shared" si="17"/>
        <v>44062</v>
      </c>
      <c r="G175" s="4">
        <v>44427</v>
      </c>
      <c r="H175" s="2" t="s">
        <v>28</v>
      </c>
      <c r="I175" s="2" t="s">
        <v>19</v>
      </c>
      <c r="J175" t="s">
        <v>46</v>
      </c>
      <c r="K175" s="7">
        <v>44270</v>
      </c>
      <c r="L175" s="3" t="s">
        <v>313</v>
      </c>
      <c r="M175" s="36">
        <f t="shared" ca="1" si="18"/>
        <v>44322</v>
      </c>
      <c r="N175" s="37" t="str">
        <f t="shared" ca="1" si="14"/>
        <v>NO</v>
      </c>
      <c r="O175" s="38">
        <f t="shared" ca="1" si="15"/>
        <v>105</v>
      </c>
      <c r="P175" s="39" t="str">
        <f t="shared" ca="1" si="16"/>
        <v>CALIBRADO</v>
      </c>
      <c r="Q175" t="s">
        <v>348</v>
      </c>
    </row>
    <row r="176" spans="1:18" x14ac:dyDescent="0.3">
      <c r="A176" t="s">
        <v>32</v>
      </c>
      <c r="B176" t="s">
        <v>48</v>
      </c>
      <c r="C176" t="s">
        <v>64</v>
      </c>
      <c r="D176" s="8" t="s">
        <v>125</v>
      </c>
      <c r="E176" s="10">
        <v>16159064</v>
      </c>
      <c r="F176" s="119">
        <f t="shared" si="17"/>
        <v>44062</v>
      </c>
      <c r="G176" s="4">
        <v>44427</v>
      </c>
      <c r="H176" s="2" t="s">
        <v>28</v>
      </c>
      <c r="I176" s="2" t="s">
        <v>19</v>
      </c>
      <c r="J176" t="s">
        <v>46</v>
      </c>
      <c r="K176" s="7">
        <v>44270</v>
      </c>
      <c r="L176" s="3" t="s">
        <v>313</v>
      </c>
      <c r="M176" s="36">
        <f t="shared" ca="1" si="18"/>
        <v>44322</v>
      </c>
      <c r="N176" s="37" t="str">
        <f t="shared" ca="1" si="14"/>
        <v>NO</v>
      </c>
      <c r="O176" s="38">
        <f t="shared" ca="1" si="15"/>
        <v>105</v>
      </c>
      <c r="P176" s="39" t="str">
        <f t="shared" ca="1" si="16"/>
        <v>CALIBRADO</v>
      </c>
      <c r="Q176" t="s">
        <v>348</v>
      </c>
    </row>
    <row r="177" spans="1:18" x14ac:dyDescent="0.3">
      <c r="A177" t="s">
        <v>32</v>
      </c>
      <c r="B177" t="s">
        <v>48</v>
      </c>
      <c r="C177" t="s">
        <v>64</v>
      </c>
      <c r="D177" s="8" t="s">
        <v>125</v>
      </c>
      <c r="E177" s="10">
        <v>16159069</v>
      </c>
      <c r="F177" s="119">
        <f t="shared" si="17"/>
        <v>44062</v>
      </c>
      <c r="G177" s="4">
        <v>44427</v>
      </c>
      <c r="H177" s="2" t="s">
        <v>28</v>
      </c>
      <c r="I177" s="2" t="s">
        <v>19</v>
      </c>
      <c r="J177" t="s">
        <v>46</v>
      </c>
      <c r="K177" s="7">
        <v>44270</v>
      </c>
      <c r="L177" s="3" t="s">
        <v>313</v>
      </c>
      <c r="M177" s="36">
        <f t="shared" ca="1" si="18"/>
        <v>44322</v>
      </c>
      <c r="N177" s="37" t="str">
        <f t="shared" ca="1" si="14"/>
        <v>NO</v>
      </c>
      <c r="O177" s="38">
        <f t="shared" ca="1" si="15"/>
        <v>105</v>
      </c>
      <c r="P177" s="39" t="str">
        <f t="shared" ca="1" si="16"/>
        <v>CALIBRADO</v>
      </c>
      <c r="Q177" t="s">
        <v>348</v>
      </c>
    </row>
    <row r="178" spans="1:18" x14ac:dyDescent="0.3">
      <c r="A178" t="s">
        <v>32</v>
      </c>
      <c r="B178" t="s">
        <v>48</v>
      </c>
      <c r="C178" t="s">
        <v>64</v>
      </c>
      <c r="D178" s="8" t="s">
        <v>125</v>
      </c>
      <c r="E178" s="10">
        <v>16159073</v>
      </c>
      <c r="F178" s="119">
        <f t="shared" si="17"/>
        <v>44062</v>
      </c>
      <c r="G178" s="4">
        <v>44427</v>
      </c>
      <c r="H178" s="2" t="s">
        <v>28</v>
      </c>
      <c r="I178" s="2" t="s">
        <v>19</v>
      </c>
      <c r="J178" t="s">
        <v>46</v>
      </c>
      <c r="K178" s="7">
        <v>44270</v>
      </c>
      <c r="L178" s="3" t="s">
        <v>313</v>
      </c>
      <c r="M178" s="36">
        <f t="shared" ca="1" si="18"/>
        <v>44322</v>
      </c>
      <c r="N178" s="37" t="str">
        <f t="shared" ca="1" si="14"/>
        <v>NO</v>
      </c>
      <c r="O178" s="38">
        <f t="shared" ca="1" si="15"/>
        <v>105</v>
      </c>
      <c r="P178" s="39" t="str">
        <f t="shared" ca="1" si="16"/>
        <v>CALIBRADO</v>
      </c>
      <c r="Q178" t="s">
        <v>348</v>
      </c>
    </row>
    <row r="179" spans="1:18" x14ac:dyDescent="0.3">
      <c r="A179" t="s">
        <v>32</v>
      </c>
      <c r="B179" t="s">
        <v>48</v>
      </c>
      <c r="C179" t="s">
        <v>82</v>
      </c>
      <c r="D179" s="8" t="s">
        <v>130</v>
      </c>
      <c r="E179" s="10" t="s">
        <v>198</v>
      </c>
      <c r="F179" s="119">
        <f t="shared" si="17"/>
        <v>44121</v>
      </c>
      <c r="G179" s="4">
        <v>44486</v>
      </c>
      <c r="H179" s="2" t="s">
        <v>28</v>
      </c>
      <c r="I179" s="2" t="s">
        <v>19</v>
      </c>
      <c r="J179" t="s">
        <v>46</v>
      </c>
      <c r="K179" s="7">
        <v>44270</v>
      </c>
      <c r="L179" s="3" t="s">
        <v>313</v>
      </c>
      <c r="M179" s="36">
        <f t="shared" ca="1" si="18"/>
        <v>44322</v>
      </c>
      <c r="N179" s="37" t="str">
        <f t="shared" ca="1" si="14"/>
        <v>NO</v>
      </c>
      <c r="O179" s="38">
        <f t="shared" ca="1" si="15"/>
        <v>164</v>
      </c>
      <c r="P179" s="39" t="str">
        <f t="shared" ca="1" si="16"/>
        <v>CALIBRADO</v>
      </c>
      <c r="Q179" t="s">
        <v>348</v>
      </c>
    </row>
    <row r="180" spans="1:18" x14ac:dyDescent="0.3">
      <c r="A180" t="s">
        <v>32</v>
      </c>
      <c r="B180" t="s">
        <v>48</v>
      </c>
      <c r="C180" t="s">
        <v>98</v>
      </c>
      <c r="D180" s="8" t="s">
        <v>41</v>
      </c>
      <c r="E180" s="10" t="s">
        <v>203</v>
      </c>
      <c r="F180" s="119">
        <f t="shared" si="17"/>
        <v>44123</v>
      </c>
      <c r="G180" s="4">
        <v>44488</v>
      </c>
      <c r="H180" s="2" t="s">
        <v>28</v>
      </c>
      <c r="I180" s="2" t="s">
        <v>19</v>
      </c>
      <c r="J180" t="s">
        <v>46</v>
      </c>
      <c r="K180" s="7">
        <v>44270</v>
      </c>
      <c r="L180" s="3" t="s">
        <v>313</v>
      </c>
      <c r="M180" s="36">
        <f t="shared" ca="1" si="18"/>
        <v>44322</v>
      </c>
      <c r="N180" s="37" t="str">
        <f t="shared" ca="1" si="14"/>
        <v>NO</v>
      </c>
      <c r="O180" s="38">
        <f t="shared" ca="1" si="15"/>
        <v>166</v>
      </c>
      <c r="P180" s="39" t="str">
        <f t="shared" ca="1" si="16"/>
        <v>CALIBRADO</v>
      </c>
      <c r="Q180" t="s">
        <v>348</v>
      </c>
    </row>
    <row r="181" spans="1:18" x14ac:dyDescent="0.3">
      <c r="A181" t="s">
        <v>32</v>
      </c>
      <c r="B181" t="s">
        <v>48</v>
      </c>
      <c r="C181" t="s">
        <v>64</v>
      </c>
      <c r="D181" s="8" t="s">
        <v>96</v>
      </c>
      <c r="E181" s="10" t="s">
        <v>213</v>
      </c>
      <c r="F181" s="119">
        <f t="shared" si="17"/>
        <v>44125</v>
      </c>
      <c r="G181" s="4">
        <v>44490</v>
      </c>
      <c r="H181" s="2" t="s">
        <v>28</v>
      </c>
      <c r="I181" s="2" t="s">
        <v>19</v>
      </c>
      <c r="J181" t="s">
        <v>46</v>
      </c>
      <c r="K181" s="7">
        <v>44270</v>
      </c>
      <c r="L181" s="3" t="s">
        <v>313</v>
      </c>
      <c r="M181" s="36">
        <f t="shared" ca="1" si="18"/>
        <v>44322</v>
      </c>
      <c r="N181" s="37" t="str">
        <f t="shared" ca="1" si="14"/>
        <v>NO</v>
      </c>
      <c r="O181" s="38">
        <f t="shared" ca="1" si="15"/>
        <v>168</v>
      </c>
      <c r="P181" s="39" t="str">
        <f t="shared" ca="1" si="16"/>
        <v>CALIBRADO</v>
      </c>
      <c r="Q181" t="s">
        <v>348</v>
      </c>
    </row>
    <row r="182" spans="1:18" x14ac:dyDescent="0.3">
      <c r="A182" t="s">
        <v>32</v>
      </c>
      <c r="B182" t="s">
        <v>48</v>
      </c>
      <c r="C182" t="s">
        <v>82</v>
      </c>
      <c r="D182" s="8" t="s">
        <v>177</v>
      </c>
      <c r="E182" s="10" t="s">
        <v>201</v>
      </c>
      <c r="F182" s="119">
        <f t="shared" si="17"/>
        <v>44139</v>
      </c>
      <c r="G182" s="4">
        <v>44504</v>
      </c>
      <c r="H182" s="2" t="s">
        <v>28</v>
      </c>
      <c r="I182" s="2" t="s">
        <v>19</v>
      </c>
      <c r="J182" t="s">
        <v>46</v>
      </c>
      <c r="K182" s="7">
        <v>44270</v>
      </c>
      <c r="L182" s="3" t="s">
        <v>313</v>
      </c>
      <c r="M182" s="36">
        <f t="shared" ca="1" si="18"/>
        <v>44322</v>
      </c>
      <c r="N182" s="37" t="str">
        <f t="shared" ca="1" si="14"/>
        <v>NO</v>
      </c>
      <c r="O182" s="38">
        <f t="shared" ca="1" si="15"/>
        <v>182</v>
      </c>
      <c r="P182" s="39" t="str">
        <f t="shared" ca="1" si="16"/>
        <v>CALIBRADO</v>
      </c>
      <c r="Q182" t="s">
        <v>348</v>
      </c>
    </row>
    <row r="183" spans="1:18" x14ac:dyDescent="0.3">
      <c r="A183" t="s">
        <v>32</v>
      </c>
      <c r="B183" t="s">
        <v>48</v>
      </c>
      <c r="C183" t="s">
        <v>82</v>
      </c>
      <c r="D183" s="8" t="s">
        <v>177</v>
      </c>
      <c r="E183" s="10" t="s">
        <v>202</v>
      </c>
      <c r="F183" s="119">
        <f t="shared" si="17"/>
        <v>44144</v>
      </c>
      <c r="G183" s="4">
        <v>44509</v>
      </c>
      <c r="H183" s="2" t="s">
        <v>28</v>
      </c>
      <c r="I183" s="2" t="s">
        <v>19</v>
      </c>
      <c r="J183" t="s">
        <v>46</v>
      </c>
      <c r="K183" s="7">
        <v>44270</v>
      </c>
      <c r="L183" s="3" t="s">
        <v>313</v>
      </c>
      <c r="M183" s="36">
        <f t="shared" ca="1" si="18"/>
        <v>44322</v>
      </c>
      <c r="N183" s="37" t="str">
        <f t="shared" ca="1" si="14"/>
        <v>NO</v>
      </c>
      <c r="O183" s="38">
        <f t="shared" ca="1" si="15"/>
        <v>187</v>
      </c>
      <c r="P183" s="39" t="str">
        <f t="shared" ca="1" si="16"/>
        <v>CALIBRADO</v>
      </c>
      <c r="Q183" t="s">
        <v>348</v>
      </c>
    </row>
    <row r="184" spans="1:18" x14ac:dyDescent="0.3">
      <c r="A184" t="s">
        <v>50</v>
      </c>
      <c r="B184" t="s">
        <v>73</v>
      </c>
      <c r="C184" t="s">
        <v>82</v>
      </c>
      <c r="D184" s="8" t="s">
        <v>215</v>
      </c>
      <c r="E184" s="10" t="s">
        <v>216</v>
      </c>
      <c r="F184" s="119">
        <f t="shared" si="17"/>
        <v>43945</v>
      </c>
      <c r="G184" s="4">
        <v>44310</v>
      </c>
      <c r="H184" s="2" t="s">
        <v>28</v>
      </c>
      <c r="I184" s="2" t="s">
        <v>19</v>
      </c>
      <c r="J184" t="s">
        <v>46</v>
      </c>
      <c r="K184" s="7">
        <v>44270</v>
      </c>
      <c r="L184" s="3" t="s">
        <v>313</v>
      </c>
      <c r="M184" s="36">
        <f t="shared" ca="1" si="18"/>
        <v>44322</v>
      </c>
      <c r="N184" s="37" t="str">
        <f t="shared" ca="1" si="14"/>
        <v>SI</v>
      </c>
      <c r="O184" s="38">
        <f t="shared" ca="1" si="15"/>
        <v>-12</v>
      </c>
      <c r="P184" s="39" t="str">
        <f t="shared" ca="1" si="16"/>
        <v>DESCALIBRADO</v>
      </c>
      <c r="Q184" s="88" t="s">
        <v>472</v>
      </c>
      <c r="R184" s="90" t="s">
        <v>419</v>
      </c>
    </row>
    <row r="185" spans="1:18" x14ac:dyDescent="0.3">
      <c r="A185" t="s">
        <v>50</v>
      </c>
      <c r="B185" t="s">
        <v>73</v>
      </c>
      <c r="C185" t="s">
        <v>82</v>
      </c>
      <c r="D185" s="8" t="s">
        <v>215</v>
      </c>
      <c r="E185" s="10" t="s">
        <v>223</v>
      </c>
      <c r="F185" s="119">
        <f t="shared" si="17"/>
        <v>43945</v>
      </c>
      <c r="G185" s="4">
        <v>44310</v>
      </c>
      <c r="H185" s="2" t="s">
        <v>28</v>
      </c>
      <c r="I185" s="2" t="s">
        <v>19</v>
      </c>
      <c r="J185" t="s">
        <v>46</v>
      </c>
      <c r="K185" s="7">
        <v>44270</v>
      </c>
      <c r="L185" s="3" t="s">
        <v>313</v>
      </c>
      <c r="M185" s="36">
        <f t="shared" ca="1" si="18"/>
        <v>44322</v>
      </c>
      <c r="N185" s="37" t="str">
        <f t="shared" ca="1" si="14"/>
        <v>SI</v>
      </c>
      <c r="O185" s="38">
        <f t="shared" ca="1" si="15"/>
        <v>-12</v>
      </c>
      <c r="P185" s="39" t="str">
        <f t="shared" ca="1" si="16"/>
        <v>DESCALIBRADO</v>
      </c>
      <c r="Q185" s="88" t="s">
        <v>473</v>
      </c>
      <c r="R185" s="90" t="s">
        <v>419</v>
      </c>
    </row>
    <row r="186" spans="1:18" x14ac:dyDescent="0.3">
      <c r="A186" t="s">
        <v>50</v>
      </c>
      <c r="B186" t="s">
        <v>73</v>
      </c>
      <c r="C186" t="s">
        <v>64</v>
      </c>
      <c r="D186" s="8" t="s">
        <v>125</v>
      </c>
      <c r="E186" s="10">
        <v>18159152</v>
      </c>
      <c r="F186" s="119">
        <f t="shared" si="17"/>
        <v>43952</v>
      </c>
      <c r="G186" s="4">
        <v>44317</v>
      </c>
      <c r="H186" s="2" t="s">
        <v>28</v>
      </c>
      <c r="I186" s="2" t="s">
        <v>19</v>
      </c>
      <c r="J186" t="s">
        <v>46</v>
      </c>
      <c r="K186" s="7">
        <v>44270</v>
      </c>
      <c r="L186" s="3" t="s">
        <v>313</v>
      </c>
      <c r="M186" s="36">
        <f t="shared" ca="1" si="18"/>
        <v>44322</v>
      </c>
      <c r="N186" s="37" t="str">
        <f t="shared" ca="1" si="14"/>
        <v>SI</v>
      </c>
      <c r="O186" s="38">
        <f t="shared" ca="1" si="15"/>
        <v>-5</v>
      </c>
      <c r="P186" s="39" t="str">
        <f t="shared" ca="1" si="16"/>
        <v>DESCALIBRADO</v>
      </c>
      <c r="Q186" s="88" t="s">
        <v>475</v>
      </c>
      <c r="R186" s="90" t="s">
        <v>419</v>
      </c>
    </row>
    <row r="187" spans="1:18" x14ac:dyDescent="0.3">
      <c r="A187" t="s">
        <v>50</v>
      </c>
      <c r="B187" t="s">
        <v>73</v>
      </c>
      <c r="C187" t="s">
        <v>82</v>
      </c>
      <c r="D187" s="8" t="s">
        <v>143</v>
      </c>
      <c r="E187" s="10" t="s">
        <v>224</v>
      </c>
      <c r="F187" s="119">
        <f t="shared" si="17"/>
        <v>43983</v>
      </c>
      <c r="G187" s="4">
        <v>44348</v>
      </c>
      <c r="H187" s="2" t="s">
        <v>28</v>
      </c>
      <c r="I187" s="2" t="s">
        <v>19</v>
      </c>
      <c r="J187" t="s">
        <v>46</v>
      </c>
      <c r="K187" s="7">
        <v>44270</v>
      </c>
      <c r="L187" s="3" t="s">
        <v>313</v>
      </c>
      <c r="M187" s="36">
        <f t="shared" ca="1" si="18"/>
        <v>44322</v>
      </c>
      <c r="N187" s="37" t="str">
        <f t="shared" ca="1" si="14"/>
        <v>NO</v>
      </c>
      <c r="O187" s="38">
        <f t="shared" ca="1" si="15"/>
        <v>26</v>
      </c>
      <c r="P187" s="39" t="str">
        <f t="shared" ca="1" si="16"/>
        <v>CALIBRADO</v>
      </c>
      <c r="Q187" s="88" t="s">
        <v>474</v>
      </c>
      <c r="R187" s="90" t="s">
        <v>419</v>
      </c>
    </row>
    <row r="188" spans="1:18" x14ac:dyDescent="0.3">
      <c r="A188" t="s">
        <v>50</v>
      </c>
      <c r="B188" t="s">
        <v>73</v>
      </c>
      <c r="C188" t="s">
        <v>82</v>
      </c>
      <c r="D188" s="8" t="s">
        <v>143</v>
      </c>
      <c r="E188" s="10" t="s">
        <v>217</v>
      </c>
      <c r="F188" s="119">
        <f t="shared" si="17"/>
        <v>44113</v>
      </c>
      <c r="G188" s="4">
        <v>44478</v>
      </c>
      <c r="H188" s="2" t="s">
        <v>28</v>
      </c>
      <c r="I188" s="2" t="s">
        <v>19</v>
      </c>
      <c r="J188" t="s">
        <v>46</v>
      </c>
      <c r="K188" s="7">
        <v>44270</v>
      </c>
      <c r="L188" s="3" t="s">
        <v>313</v>
      </c>
      <c r="M188" s="36">
        <f t="shared" ca="1" si="18"/>
        <v>44322</v>
      </c>
      <c r="N188" s="37" t="str">
        <f t="shared" ca="1" si="14"/>
        <v>NO</v>
      </c>
      <c r="O188" s="38">
        <f t="shared" ca="1" si="15"/>
        <v>156</v>
      </c>
      <c r="P188" s="39" t="str">
        <f t="shared" ca="1" si="16"/>
        <v>CALIBRADO</v>
      </c>
      <c r="Q188" t="s">
        <v>348</v>
      </c>
    </row>
    <row r="189" spans="1:18" x14ac:dyDescent="0.3">
      <c r="A189" t="s">
        <v>50</v>
      </c>
      <c r="B189" t="s">
        <v>73</v>
      </c>
      <c r="C189" t="s">
        <v>82</v>
      </c>
      <c r="D189" s="8" t="s">
        <v>143</v>
      </c>
      <c r="E189" s="10" t="s">
        <v>218</v>
      </c>
      <c r="F189" s="119">
        <f t="shared" si="17"/>
        <v>44113</v>
      </c>
      <c r="G189" s="4">
        <v>44478</v>
      </c>
      <c r="H189" s="2" t="s">
        <v>28</v>
      </c>
      <c r="I189" s="2" t="s">
        <v>19</v>
      </c>
      <c r="J189" t="s">
        <v>46</v>
      </c>
      <c r="K189" s="7">
        <v>44270</v>
      </c>
      <c r="L189" s="3" t="s">
        <v>313</v>
      </c>
      <c r="M189" s="36">
        <f t="shared" ca="1" si="18"/>
        <v>44322</v>
      </c>
      <c r="N189" s="37" t="str">
        <f t="shared" ca="1" si="14"/>
        <v>NO</v>
      </c>
      <c r="O189" s="38">
        <f t="shared" ca="1" si="15"/>
        <v>156</v>
      </c>
      <c r="P189" s="39" t="str">
        <f t="shared" ca="1" si="16"/>
        <v>CALIBRADO</v>
      </c>
      <c r="Q189" t="s">
        <v>348</v>
      </c>
    </row>
    <row r="190" spans="1:18" x14ac:dyDescent="0.3">
      <c r="A190" t="s">
        <v>50</v>
      </c>
      <c r="B190" t="s">
        <v>73</v>
      </c>
      <c r="C190" t="s">
        <v>149</v>
      </c>
      <c r="D190" s="8" t="s">
        <v>220</v>
      </c>
      <c r="E190" s="10" t="s">
        <v>221</v>
      </c>
      <c r="F190" s="119">
        <f t="shared" si="17"/>
        <v>44113</v>
      </c>
      <c r="G190" s="4">
        <v>44478</v>
      </c>
      <c r="H190" s="2" t="s">
        <v>28</v>
      </c>
      <c r="I190" s="2" t="s">
        <v>19</v>
      </c>
      <c r="J190" t="s">
        <v>46</v>
      </c>
      <c r="K190" s="7">
        <v>44270</v>
      </c>
      <c r="L190" s="3" t="s">
        <v>313</v>
      </c>
      <c r="M190" s="36">
        <f t="shared" ca="1" si="18"/>
        <v>44322</v>
      </c>
      <c r="N190" s="37" t="str">
        <f t="shared" ca="1" si="14"/>
        <v>NO</v>
      </c>
      <c r="O190" s="38">
        <f t="shared" ca="1" si="15"/>
        <v>156</v>
      </c>
      <c r="P190" s="39" t="str">
        <f t="shared" ca="1" si="16"/>
        <v>CALIBRADO</v>
      </c>
      <c r="Q190" t="s">
        <v>348</v>
      </c>
    </row>
    <row r="191" spans="1:18" x14ac:dyDescent="0.3">
      <c r="A191" t="s">
        <v>50</v>
      </c>
      <c r="B191" t="s">
        <v>73</v>
      </c>
      <c r="C191" t="s">
        <v>149</v>
      </c>
      <c r="D191" s="8" t="s">
        <v>220</v>
      </c>
      <c r="E191" s="10" t="s">
        <v>222</v>
      </c>
      <c r="F191" s="119">
        <f t="shared" si="17"/>
        <v>44113</v>
      </c>
      <c r="G191" s="4">
        <v>44478</v>
      </c>
      <c r="H191" s="2" t="s">
        <v>28</v>
      </c>
      <c r="I191" s="2" t="s">
        <v>19</v>
      </c>
      <c r="J191" t="s">
        <v>46</v>
      </c>
      <c r="K191" s="7">
        <v>44270</v>
      </c>
      <c r="L191" s="3" t="s">
        <v>313</v>
      </c>
      <c r="M191" s="36">
        <f t="shared" ca="1" si="18"/>
        <v>44322</v>
      </c>
      <c r="N191" s="37" t="str">
        <f t="shared" ref="N191:N253" ca="1" si="19">IF(P191="DESCALIBRADO","SI",IF(P191="CALIBRADO","NO",IF(P191="POR CALIBRAR","NO "," ")))</f>
        <v>NO</v>
      </c>
      <c r="O191" s="38">
        <f t="shared" ref="O191:O253" ca="1" si="20">+G191-M191</f>
        <v>156</v>
      </c>
      <c r="P191" s="39" t="str">
        <f t="shared" ref="P191:P253" ca="1" si="21">IF(G191="","",IF(G191-M191&gt;15,"CALIBRADO",IF(AND(G191-M191&lt;=15,G191-M191&gt;=0),"POR CALIBRAR","DESCALIBRADO")))</f>
        <v>CALIBRADO</v>
      </c>
      <c r="Q191" t="s">
        <v>348</v>
      </c>
    </row>
    <row r="192" spans="1:18" x14ac:dyDescent="0.3">
      <c r="A192" t="s">
        <v>50</v>
      </c>
      <c r="B192" t="s">
        <v>73</v>
      </c>
      <c r="C192" t="s">
        <v>64</v>
      </c>
      <c r="D192" s="8" t="s">
        <v>125</v>
      </c>
      <c r="E192" s="10" t="s">
        <v>225</v>
      </c>
      <c r="F192" s="119">
        <f t="shared" si="17"/>
        <v>44113</v>
      </c>
      <c r="G192" s="4">
        <v>44478</v>
      </c>
      <c r="H192" s="2" t="s">
        <v>28</v>
      </c>
      <c r="I192" s="2" t="s">
        <v>19</v>
      </c>
      <c r="J192" t="s">
        <v>46</v>
      </c>
      <c r="K192" s="7">
        <v>44270</v>
      </c>
      <c r="L192" s="3" t="s">
        <v>313</v>
      </c>
      <c r="M192" s="36">
        <f t="shared" ca="1" si="18"/>
        <v>44322</v>
      </c>
      <c r="N192" s="37" t="str">
        <f t="shared" ca="1" si="19"/>
        <v>NO</v>
      </c>
      <c r="O192" s="38">
        <f t="shared" ca="1" si="20"/>
        <v>156</v>
      </c>
      <c r="P192" s="39" t="str">
        <f t="shared" ca="1" si="21"/>
        <v>CALIBRADO</v>
      </c>
      <c r="Q192" t="s">
        <v>348</v>
      </c>
    </row>
    <row r="193" spans="1:18" x14ac:dyDescent="0.3">
      <c r="A193" t="s">
        <v>50</v>
      </c>
      <c r="B193" t="s">
        <v>73</v>
      </c>
      <c r="C193" t="s">
        <v>64</v>
      </c>
      <c r="D193" s="8" t="s">
        <v>226</v>
      </c>
      <c r="E193" s="10">
        <v>995</v>
      </c>
      <c r="F193" s="119">
        <f t="shared" si="17"/>
        <v>44113</v>
      </c>
      <c r="G193" s="4">
        <v>44478</v>
      </c>
      <c r="H193" s="2" t="s">
        <v>28</v>
      </c>
      <c r="I193" s="2" t="s">
        <v>19</v>
      </c>
      <c r="J193" t="s">
        <v>46</v>
      </c>
      <c r="K193" s="7">
        <v>44270</v>
      </c>
      <c r="L193" s="3" t="s">
        <v>313</v>
      </c>
      <c r="M193" s="36">
        <f t="shared" ca="1" si="18"/>
        <v>44322</v>
      </c>
      <c r="N193" s="37" t="str">
        <f t="shared" ca="1" si="19"/>
        <v>NO</v>
      </c>
      <c r="O193" s="38">
        <f t="shared" ca="1" si="20"/>
        <v>156</v>
      </c>
      <c r="P193" s="39" t="str">
        <f t="shared" ca="1" si="21"/>
        <v>CALIBRADO</v>
      </c>
      <c r="Q193" t="s">
        <v>348</v>
      </c>
    </row>
    <row r="194" spans="1:18" x14ac:dyDescent="0.3">
      <c r="A194" t="s">
        <v>50</v>
      </c>
      <c r="B194" t="s">
        <v>73</v>
      </c>
      <c r="C194" t="s">
        <v>82</v>
      </c>
      <c r="D194" s="8" t="s">
        <v>51</v>
      </c>
      <c r="E194" s="10">
        <v>394</v>
      </c>
      <c r="F194" s="119">
        <f t="shared" ref="F194:F256" si="22">G194-365</f>
        <v>44170</v>
      </c>
      <c r="G194" s="4">
        <v>44535</v>
      </c>
      <c r="H194" s="2" t="s">
        <v>28</v>
      </c>
      <c r="I194" s="2" t="s">
        <v>19</v>
      </c>
      <c r="J194" t="s">
        <v>46</v>
      </c>
      <c r="K194" s="7">
        <v>44270</v>
      </c>
      <c r="L194" s="3" t="s">
        <v>313</v>
      </c>
      <c r="M194" s="36">
        <f t="shared" ca="1" si="18"/>
        <v>44322</v>
      </c>
      <c r="N194" s="37" t="str">
        <f t="shared" ca="1" si="19"/>
        <v>NO</v>
      </c>
      <c r="O194" s="38">
        <f t="shared" ca="1" si="20"/>
        <v>213</v>
      </c>
      <c r="P194" s="39" t="str">
        <f t="shared" ca="1" si="21"/>
        <v>CALIBRADO</v>
      </c>
      <c r="Q194" t="s">
        <v>348</v>
      </c>
    </row>
    <row r="195" spans="1:18" x14ac:dyDescent="0.3">
      <c r="A195" t="s">
        <v>50</v>
      </c>
      <c r="B195" t="s">
        <v>73</v>
      </c>
      <c r="C195" t="s">
        <v>82</v>
      </c>
      <c r="D195" s="8" t="s">
        <v>143</v>
      </c>
      <c r="E195" s="10" t="s">
        <v>214</v>
      </c>
      <c r="F195" s="119">
        <f t="shared" si="22"/>
        <v>44170</v>
      </c>
      <c r="G195" s="4">
        <v>44535</v>
      </c>
      <c r="H195" s="2" t="s">
        <v>28</v>
      </c>
      <c r="I195" s="2" t="s">
        <v>19</v>
      </c>
      <c r="J195" t="s">
        <v>46</v>
      </c>
      <c r="K195" s="7">
        <v>44270</v>
      </c>
      <c r="L195" s="3" t="s">
        <v>313</v>
      </c>
      <c r="M195" s="36">
        <f t="shared" ca="1" si="18"/>
        <v>44322</v>
      </c>
      <c r="N195" s="37" t="str">
        <f t="shared" ca="1" si="19"/>
        <v>NO</v>
      </c>
      <c r="O195" s="38">
        <f t="shared" ca="1" si="20"/>
        <v>213</v>
      </c>
      <c r="P195" s="39" t="str">
        <f t="shared" ca="1" si="21"/>
        <v>CALIBRADO</v>
      </c>
      <c r="Q195" t="s">
        <v>348</v>
      </c>
    </row>
    <row r="196" spans="1:18" x14ac:dyDescent="0.3">
      <c r="A196" t="s">
        <v>50</v>
      </c>
      <c r="B196" t="s">
        <v>73</v>
      </c>
      <c r="C196" t="s">
        <v>188</v>
      </c>
      <c r="D196" s="8" t="s">
        <v>266</v>
      </c>
      <c r="E196" s="10">
        <v>2511552</v>
      </c>
      <c r="F196" s="119">
        <f t="shared" si="22"/>
        <v>44183</v>
      </c>
      <c r="G196" s="4">
        <v>44548</v>
      </c>
      <c r="H196" s="2" t="s">
        <v>28</v>
      </c>
      <c r="I196" s="2" t="s">
        <v>19</v>
      </c>
      <c r="J196" t="s">
        <v>46</v>
      </c>
      <c r="K196" s="7">
        <v>44270</v>
      </c>
      <c r="L196" s="3" t="s">
        <v>313</v>
      </c>
      <c r="M196" s="36">
        <f t="shared" ca="1" si="18"/>
        <v>44322</v>
      </c>
      <c r="N196" s="37" t="str">
        <f t="shared" ca="1" si="19"/>
        <v>NO</v>
      </c>
      <c r="O196" s="38">
        <f t="shared" ca="1" si="20"/>
        <v>226</v>
      </c>
      <c r="P196" s="39" t="str">
        <f t="shared" ca="1" si="21"/>
        <v>CALIBRADO</v>
      </c>
      <c r="Q196" t="s">
        <v>348</v>
      </c>
    </row>
    <row r="197" spans="1:18" x14ac:dyDescent="0.3">
      <c r="A197" t="s">
        <v>50</v>
      </c>
      <c r="B197" t="s">
        <v>73</v>
      </c>
      <c r="C197" t="s">
        <v>98</v>
      </c>
      <c r="D197" s="8" t="s">
        <v>41</v>
      </c>
      <c r="E197" s="10">
        <v>3220060</v>
      </c>
      <c r="F197" s="119">
        <f t="shared" si="22"/>
        <v>44195</v>
      </c>
      <c r="G197" s="4">
        <v>44560</v>
      </c>
      <c r="H197" s="2" t="s">
        <v>28</v>
      </c>
      <c r="I197" s="2" t="s">
        <v>19</v>
      </c>
      <c r="J197" t="s">
        <v>46</v>
      </c>
      <c r="K197" s="7">
        <v>44270</v>
      </c>
      <c r="L197" s="3" t="s">
        <v>313</v>
      </c>
      <c r="M197" s="36">
        <f t="shared" ca="1" si="18"/>
        <v>44322</v>
      </c>
      <c r="N197" s="37" t="str">
        <f t="shared" ca="1" si="19"/>
        <v>NO</v>
      </c>
      <c r="O197" s="38">
        <f t="shared" ca="1" si="20"/>
        <v>238</v>
      </c>
      <c r="P197" s="39" t="str">
        <f t="shared" ca="1" si="21"/>
        <v>CALIBRADO</v>
      </c>
      <c r="Q197" t="s">
        <v>348</v>
      </c>
    </row>
    <row r="198" spans="1:18" x14ac:dyDescent="0.3">
      <c r="A198" t="s">
        <v>50</v>
      </c>
      <c r="B198" t="s">
        <v>73</v>
      </c>
      <c r="C198" t="s">
        <v>98</v>
      </c>
      <c r="D198" s="8" t="s">
        <v>41</v>
      </c>
      <c r="E198" s="10" t="s">
        <v>219</v>
      </c>
      <c r="F198" s="119">
        <f t="shared" si="22"/>
        <v>44195</v>
      </c>
      <c r="G198" s="4">
        <v>44560</v>
      </c>
      <c r="H198" s="2" t="s">
        <v>28</v>
      </c>
      <c r="I198" s="2" t="s">
        <v>19</v>
      </c>
      <c r="J198" t="s">
        <v>46</v>
      </c>
      <c r="K198" s="7">
        <v>44270</v>
      </c>
      <c r="L198" s="3" t="s">
        <v>313</v>
      </c>
      <c r="M198" s="36">
        <f t="shared" ca="1" si="18"/>
        <v>44322</v>
      </c>
      <c r="N198" s="37" t="str">
        <f t="shared" ca="1" si="19"/>
        <v>NO</v>
      </c>
      <c r="O198" s="38">
        <f t="shared" ca="1" si="20"/>
        <v>238</v>
      </c>
      <c r="P198" s="39" t="str">
        <f t="shared" ca="1" si="21"/>
        <v>CALIBRADO</v>
      </c>
      <c r="Q198" t="s">
        <v>348</v>
      </c>
    </row>
    <row r="199" spans="1:18" x14ac:dyDescent="0.3">
      <c r="A199" t="s">
        <v>32</v>
      </c>
      <c r="B199" t="s">
        <v>37</v>
      </c>
      <c r="C199" t="s">
        <v>98</v>
      </c>
      <c r="D199" s="8" t="s">
        <v>41</v>
      </c>
      <c r="E199" s="10" t="s">
        <v>241</v>
      </c>
      <c r="F199" s="119">
        <f t="shared" si="22"/>
        <v>43899</v>
      </c>
      <c r="G199" s="4">
        <v>44264</v>
      </c>
      <c r="H199" s="2" t="s">
        <v>28</v>
      </c>
      <c r="I199" s="2" t="s">
        <v>19</v>
      </c>
      <c r="J199" t="s">
        <v>46</v>
      </c>
      <c r="K199" s="7">
        <v>44270</v>
      </c>
      <c r="L199" s="3" t="s">
        <v>313</v>
      </c>
      <c r="M199" s="36">
        <f t="shared" ca="1" si="18"/>
        <v>44322</v>
      </c>
      <c r="N199" s="37" t="str">
        <f t="shared" ca="1" si="19"/>
        <v>SI</v>
      </c>
      <c r="O199" s="38">
        <f t="shared" ca="1" si="20"/>
        <v>-58</v>
      </c>
      <c r="P199" s="39" t="str">
        <f t="shared" ca="1" si="21"/>
        <v>DESCALIBRADO</v>
      </c>
      <c r="Q199" t="s">
        <v>348</v>
      </c>
    </row>
    <row r="200" spans="1:18" x14ac:dyDescent="0.3">
      <c r="A200" t="s">
        <v>32</v>
      </c>
      <c r="B200" t="s">
        <v>37</v>
      </c>
      <c r="C200" t="s">
        <v>82</v>
      </c>
      <c r="D200" s="8" t="s">
        <v>136</v>
      </c>
      <c r="E200" s="10" t="s">
        <v>228</v>
      </c>
      <c r="F200" s="119">
        <f t="shared" si="22"/>
        <v>44020</v>
      </c>
      <c r="G200" s="4">
        <v>44385</v>
      </c>
      <c r="H200" s="2" t="s">
        <v>28</v>
      </c>
      <c r="I200" s="2" t="s">
        <v>19</v>
      </c>
      <c r="J200" t="s">
        <v>46</v>
      </c>
      <c r="K200" s="7">
        <v>44270</v>
      </c>
      <c r="L200" s="3" t="s">
        <v>313</v>
      </c>
      <c r="M200" s="36">
        <f t="shared" ca="1" si="18"/>
        <v>44322</v>
      </c>
      <c r="N200" s="37" t="str">
        <f t="shared" ca="1" si="19"/>
        <v>NO</v>
      </c>
      <c r="O200" s="38">
        <f t="shared" ca="1" si="20"/>
        <v>63</v>
      </c>
      <c r="P200" s="39" t="str">
        <f t="shared" ca="1" si="21"/>
        <v>CALIBRADO</v>
      </c>
      <c r="Q200" s="86" t="s">
        <v>343</v>
      </c>
      <c r="R200" t="s">
        <v>476</v>
      </c>
    </row>
    <row r="201" spans="1:18" x14ac:dyDescent="0.3">
      <c r="A201" t="s">
        <v>32</v>
      </c>
      <c r="B201" t="s">
        <v>37</v>
      </c>
      <c r="C201" t="s">
        <v>82</v>
      </c>
      <c r="D201" s="8" t="s">
        <v>136</v>
      </c>
      <c r="E201" s="10" t="s">
        <v>227</v>
      </c>
      <c r="F201" s="119">
        <f t="shared" si="22"/>
        <v>44025</v>
      </c>
      <c r="G201" s="4">
        <v>44390</v>
      </c>
      <c r="H201" s="2" t="s">
        <v>28</v>
      </c>
      <c r="I201" s="2" t="s">
        <v>19</v>
      </c>
      <c r="J201" t="s">
        <v>46</v>
      </c>
      <c r="K201" s="7">
        <v>44270</v>
      </c>
      <c r="L201" s="3" t="s">
        <v>313</v>
      </c>
      <c r="M201" s="36">
        <f t="shared" ca="1" si="18"/>
        <v>44322</v>
      </c>
      <c r="N201" s="37" t="str">
        <f t="shared" ca="1" si="19"/>
        <v>NO</v>
      </c>
      <c r="O201" s="38">
        <f t="shared" ca="1" si="20"/>
        <v>68</v>
      </c>
      <c r="P201" s="39" t="str">
        <f t="shared" ca="1" si="21"/>
        <v>CALIBRADO</v>
      </c>
      <c r="Q201" s="86" t="s">
        <v>342</v>
      </c>
      <c r="R201" t="s">
        <v>476</v>
      </c>
    </row>
    <row r="202" spans="1:18" x14ac:dyDescent="0.3">
      <c r="A202" t="s">
        <v>32</v>
      </c>
      <c r="B202" t="s">
        <v>309</v>
      </c>
      <c r="C202" t="s">
        <v>98</v>
      </c>
      <c r="D202" s="8" t="s">
        <v>41</v>
      </c>
      <c r="E202" s="10" t="s">
        <v>310</v>
      </c>
      <c r="F202" s="119">
        <f t="shared" si="22"/>
        <v>44035</v>
      </c>
      <c r="G202" s="4">
        <v>44400</v>
      </c>
      <c r="H202" s="2" t="s">
        <v>28</v>
      </c>
      <c r="I202" s="2" t="s">
        <v>19</v>
      </c>
      <c r="J202" t="s">
        <v>46</v>
      </c>
      <c r="K202" s="7">
        <v>44270</v>
      </c>
      <c r="L202" s="3" t="s">
        <v>313</v>
      </c>
      <c r="M202" s="36">
        <f t="shared" ca="1" si="18"/>
        <v>44322</v>
      </c>
      <c r="N202" s="37" t="str">
        <f t="shared" ca="1" si="19"/>
        <v>NO</v>
      </c>
      <c r="O202" s="38">
        <f t="shared" ca="1" si="20"/>
        <v>78</v>
      </c>
      <c r="P202" s="39" t="str">
        <f t="shared" ca="1" si="21"/>
        <v>CALIBRADO</v>
      </c>
      <c r="Q202" s="86" t="s">
        <v>341</v>
      </c>
      <c r="R202" t="s">
        <v>476</v>
      </c>
    </row>
    <row r="203" spans="1:18" x14ac:dyDescent="0.3">
      <c r="A203" t="s">
        <v>32</v>
      </c>
      <c r="B203" t="s">
        <v>309</v>
      </c>
      <c r="C203" t="s">
        <v>64</v>
      </c>
      <c r="D203" s="8" t="s">
        <v>125</v>
      </c>
      <c r="E203" s="10">
        <v>16159024</v>
      </c>
      <c r="F203" s="119">
        <f t="shared" si="22"/>
        <v>44043</v>
      </c>
      <c r="G203" s="4">
        <v>44408</v>
      </c>
      <c r="H203" s="2" t="s">
        <v>28</v>
      </c>
      <c r="I203" s="2" t="s">
        <v>19</v>
      </c>
      <c r="J203" t="s">
        <v>46</v>
      </c>
      <c r="K203" s="7">
        <v>44270</v>
      </c>
      <c r="L203" s="3" t="s">
        <v>313</v>
      </c>
      <c r="M203" s="36">
        <f t="shared" ca="1" si="18"/>
        <v>44322</v>
      </c>
      <c r="N203" s="37" t="str">
        <f t="shared" ca="1" si="19"/>
        <v>NO</v>
      </c>
      <c r="O203" s="38">
        <f t="shared" ca="1" si="20"/>
        <v>86</v>
      </c>
      <c r="P203" s="39" t="str">
        <f t="shared" ca="1" si="21"/>
        <v>CALIBRADO</v>
      </c>
      <c r="Q203" s="86" t="s">
        <v>345</v>
      </c>
      <c r="R203" t="s">
        <v>476</v>
      </c>
    </row>
    <row r="204" spans="1:18" x14ac:dyDescent="0.3">
      <c r="A204" t="s">
        <v>32</v>
      </c>
      <c r="B204" t="s">
        <v>309</v>
      </c>
      <c r="C204" t="s">
        <v>149</v>
      </c>
      <c r="D204" s="8" t="s">
        <v>150</v>
      </c>
      <c r="E204" s="10" t="s">
        <v>311</v>
      </c>
      <c r="F204" s="119">
        <f t="shared" si="22"/>
        <v>44054</v>
      </c>
      <c r="G204" s="4">
        <v>44419</v>
      </c>
      <c r="H204" s="2" t="s">
        <v>28</v>
      </c>
      <c r="I204" s="2" t="s">
        <v>19</v>
      </c>
      <c r="J204" t="s">
        <v>46</v>
      </c>
      <c r="K204" s="7">
        <v>44270</v>
      </c>
      <c r="L204" s="3" t="s">
        <v>313</v>
      </c>
      <c r="M204" s="36">
        <f t="shared" ca="1" si="18"/>
        <v>44322</v>
      </c>
      <c r="N204" s="37" t="str">
        <f t="shared" ca="1" si="19"/>
        <v>NO</v>
      </c>
      <c r="O204" s="38">
        <f t="shared" ca="1" si="20"/>
        <v>97</v>
      </c>
      <c r="P204" s="39" t="str">
        <f t="shared" ca="1" si="21"/>
        <v>CALIBRADO</v>
      </c>
      <c r="Q204" s="86" t="s">
        <v>344</v>
      </c>
      <c r="R204" t="s">
        <v>476</v>
      </c>
    </row>
    <row r="205" spans="1:18" x14ac:dyDescent="0.3">
      <c r="A205" t="s">
        <v>32</v>
      </c>
      <c r="B205" t="s">
        <v>37</v>
      </c>
      <c r="C205" t="s">
        <v>64</v>
      </c>
      <c r="D205" s="8" t="s">
        <v>125</v>
      </c>
      <c r="E205" s="10">
        <v>18159159</v>
      </c>
      <c r="F205" s="119">
        <f t="shared" si="22"/>
        <v>44091</v>
      </c>
      <c r="G205" s="4">
        <v>44456</v>
      </c>
      <c r="H205" s="2" t="s">
        <v>28</v>
      </c>
      <c r="I205" s="2" t="s">
        <v>19</v>
      </c>
      <c r="J205" t="s">
        <v>46</v>
      </c>
      <c r="K205" s="7">
        <v>44270</v>
      </c>
      <c r="L205" s="3" t="s">
        <v>313</v>
      </c>
      <c r="M205" s="36">
        <f t="shared" ca="1" si="18"/>
        <v>44322</v>
      </c>
      <c r="N205" s="37" t="str">
        <f t="shared" ca="1" si="19"/>
        <v>NO</v>
      </c>
      <c r="O205" s="38">
        <f t="shared" ca="1" si="20"/>
        <v>134</v>
      </c>
      <c r="P205" s="39" t="str">
        <f t="shared" ca="1" si="21"/>
        <v>CALIBRADO</v>
      </c>
      <c r="Q205" s="86" t="s">
        <v>346</v>
      </c>
      <c r="R205" t="s">
        <v>476</v>
      </c>
    </row>
    <row r="206" spans="1:18" x14ac:dyDescent="0.3">
      <c r="A206" t="s">
        <v>25</v>
      </c>
      <c r="B206" t="s">
        <v>67</v>
      </c>
      <c r="C206" t="s">
        <v>64</v>
      </c>
      <c r="D206" s="8" t="s">
        <v>234</v>
      </c>
      <c r="E206" s="64">
        <v>425481</v>
      </c>
      <c r="F206" s="121">
        <f t="shared" si="22"/>
        <v>44099</v>
      </c>
      <c r="G206" s="4">
        <v>44464</v>
      </c>
      <c r="H206" s="2" t="s">
        <v>28</v>
      </c>
      <c r="I206" s="2" t="s">
        <v>19</v>
      </c>
      <c r="J206" t="s">
        <v>46</v>
      </c>
      <c r="K206" s="7">
        <v>44270</v>
      </c>
      <c r="L206" s="3" t="s">
        <v>313</v>
      </c>
      <c r="M206" s="36">
        <f t="shared" ca="1" si="18"/>
        <v>44322</v>
      </c>
      <c r="N206" s="37" t="str">
        <f t="shared" ca="1" si="19"/>
        <v>NO</v>
      </c>
      <c r="O206" s="38">
        <f t="shared" ca="1" si="20"/>
        <v>142</v>
      </c>
      <c r="P206" s="39" t="str">
        <f t="shared" ca="1" si="21"/>
        <v>CALIBRADO</v>
      </c>
      <c r="Q206" s="86" t="s">
        <v>437</v>
      </c>
      <c r="R206" t="s">
        <v>476</v>
      </c>
    </row>
    <row r="207" spans="1:18" x14ac:dyDescent="0.3">
      <c r="A207" t="s">
        <v>25</v>
      </c>
      <c r="B207" t="s">
        <v>67</v>
      </c>
      <c r="C207" t="s">
        <v>64</v>
      </c>
      <c r="D207" s="8" t="s">
        <v>158</v>
      </c>
      <c r="E207" s="64" t="s">
        <v>233</v>
      </c>
      <c r="F207" s="121">
        <f t="shared" si="22"/>
        <v>44105</v>
      </c>
      <c r="G207" s="4">
        <v>44470</v>
      </c>
      <c r="H207" s="2" t="s">
        <v>28</v>
      </c>
      <c r="I207" s="2" t="s">
        <v>19</v>
      </c>
      <c r="J207" t="s">
        <v>46</v>
      </c>
      <c r="K207" s="7">
        <v>44270</v>
      </c>
      <c r="L207" s="3" t="s">
        <v>313</v>
      </c>
      <c r="M207" s="36">
        <f t="shared" ca="1" si="18"/>
        <v>44322</v>
      </c>
      <c r="N207" s="37" t="str">
        <f t="shared" ca="1" si="19"/>
        <v>NO</v>
      </c>
      <c r="O207" s="38">
        <f t="shared" ca="1" si="20"/>
        <v>148</v>
      </c>
      <c r="P207" s="39" t="str">
        <f t="shared" ca="1" si="21"/>
        <v>CALIBRADO</v>
      </c>
      <c r="Q207" t="s">
        <v>348</v>
      </c>
    </row>
    <row r="208" spans="1:18" x14ac:dyDescent="0.3">
      <c r="A208" t="s">
        <v>25</v>
      </c>
      <c r="B208" t="s">
        <v>67</v>
      </c>
      <c r="C208" t="s">
        <v>82</v>
      </c>
      <c r="D208" s="8" t="s">
        <v>232</v>
      </c>
      <c r="E208" s="64">
        <v>12601019403</v>
      </c>
      <c r="F208" s="121">
        <f t="shared" si="22"/>
        <v>44177</v>
      </c>
      <c r="G208" s="4">
        <v>44542</v>
      </c>
      <c r="H208" s="2" t="s">
        <v>28</v>
      </c>
      <c r="I208" s="2" t="s">
        <v>19</v>
      </c>
      <c r="J208" t="s">
        <v>46</v>
      </c>
      <c r="K208" s="7">
        <v>44270</v>
      </c>
      <c r="L208" s="3" t="s">
        <v>313</v>
      </c>
      <c r="M208" s="36">
        <f t="shared" ca="1" si="18"/>
        <v>44322</v>
      </c>
      <c r="N208" s="37" t="str">
        <f t="shared" ca="1" si="19"/>
        <v>NO</v>
      </c>
      <c r="O208" s="38">
        <f t="shared" ca="1" si="20"/>
        <v>220</v>
      </c>
      <c r="P208" s="39" t="str">
        <f t="shared" ca="1" si="21"/>
        <v>CALIBRADO</v>
      </c>
      <c r="Q208" s="86" t="s">
        <v>436</v>
      </c>
      <c r="R208" t="s">
        <v>476</v>
      </c>
    </row>
    <row r="209" spans="1:18" x14ac:dyDescent="0.3">
      <c r="A209" t="s">
        <v>25</v>
      </c>
      <c r="B209" t="s">
        <v>67</v>
      </c>
      <c r="C209" t="s">
        <v>98</v>
      </c>
      <c r="D209" s="8" t="s">
        <v>229</v>
      </c>
      <c r="E209" s="64" t="s">
        <v>230</v>
      </c>
      <c r="F209" s="121">
        <f t="shared" si="22"/>
        <v>44222</v>
      </c>
      <c r="G209" s="4">
        <v>44587</v>
      </c>
      <c r="H209" s="2" t="s">
        <v>28</v>
      </c>
      <c r="I209" s="2" t="s">
        <v>19</v>
      </c>
      <c r="J209" t="s">
        <v>46</v>
      </c>
      <c r="K209" s="7">
        <v>44270</v>
      </c>
      <c r="L209" s="3" t="s">
        <v>313</v>
      </c>
      <c r="M209" s="36">
        <f t="shared" ca="1" si="18"/>
        <v>44322</v>
      </c>
      <c r="N209" s="37" t="str">
        <f t="shared" ca="1" si="19"/>
        <v>NO</v>
      </c>
      <c r="O209" s="38">
        <f t="shared" ca="1" si="20"/>
        <v>265</v>
      </c>
      <c r="P209" s="39" t="str">
        <f t="shared" ca="1" si="21"/>
        <v>CALIBRADO</v>
      </c>
      <c r="Q209" s="86" t="s">
        <v>434</v>
      </c>
      <c r="R209" t="s">
        <v>476</v>
      </c>
    </row>
    <row r="210" spans="1:18" x14ac:dyDescent="0.3">
      <c r="A210" s="56" t="s">
        <v>25</v>
      </c>
      <c r="B210" s="56" t="s">
        <v>67</v>
      </c>
      <c r="C210" t="s">
        <v>98</v>
      </c>
      <c r="D210" s="62" t="s">
        <v>41</v>
      </c>
      <c r="E210" s="64" t="s">
        <v>328</v>
      </c>
      <c r="F210" s="121">
        <f t="shared" si="22"/>
        <v>44257</v>
      </c>
      <c r="G210" s="4">
        <v>44622</v>
      </c>
      <c r="H210" s="55" t="s">
        <v>18</v>
      </c>
      <c r="I210" s="63" t="s">
        <v>23</v>
      </c>
      <c r="J210" s="56" t="s">
        <v>24</v>
      </c>
      <c r="K210" s="57">
        <v>44257</v>
      </c>
      <c r="L210" s="58" t="s">
        <v>330</v>
      </c>
      <c r="M210" s="36">
        <f t="shared" ca="1" si="18"/>
        <v>44322</v>
      </c>
      <c r="N210" s="37" t="str">
        <f t="shared" ca="1" si="19"/>
        <v>NO</v>
      </c>
      <c r="O210" s="38">
        <f t="shared" ca="1" si="20"/>
        <v>300</v>
      </c>
      <c r="P210" s="39" t="str">
        <f t="shared" ca="1" si="21"/>
        <v>CALIBRADO</v>
      </c>
      <c r="Q210" s="86" t="s">
        <v>435</v>
      </c>
      <c r="R210" t="s">
        <v>476</v>
      </c>
    </row>
    <row r="211" spans="1:18" x14ac:dyDescent="0.3">
      <c r="A211" t="s">
        <v>25</v>
      </c>
      <c r="B211" t="s">
        <v>68</v>
      </c>
      <c r="C211" t="s">
        <v>82</v>
      </c>
      <c r="D211" s="8" t="s">
        <v>83</v>
      </c>
      <c r="E211" s="10" t="s">
        <v>237</v>
      </c>
      <c r="F211" s="119">
        <f t="shared" si="22"/>
        <v>43984</v>
      </c>
      <c r="G211" s="4">
        <v>44349</v>
      </c>
      <c r="H211" s="2" t="s">
        <v>28</v>
      </c>
      <c r="I211" s="2" t="s">
        <v>19</v>
      </c>
      <c r="J211" t="s">
        <v>46</v>
      </c>
      <c r="K211" s="7">
        <v>44270</v>
      </c>
      <c r="L211" s="3" t="s">
        <v>313</v>
      </c>
      <c r="M211" s="36">
        <f t="shared" ca="1" si="18"/>
        <v>44322</v>
      </c>
      <c r="N211" s="37" t="str">
        <f t="shared" ca="1" si="19"/>
        <v>NO</v>
      </c>
      <c r="O211" s="38">
        <f t="shared" ca="1" si="20"/>
        <v>27</v>
      </c>
      <c r="P211" s="39" t="str">
        <f t="shared" ca="1" si="21"/>
        <v>CALIBRADO</v>
      </c>
      <c r="Q211" s="86" t="s">
        <v>445</v>
      </c>
      <c r="R211" t="s">
        <v>476</v>
      </c>
    </row>
    <row r="212" spans="1:18" x14ac:dyDescent="0.3">
      <c r="A212" t="s">
        <v>25</v>
      </c>
      <c r="B212" t="s">
        <v>68</v>
      </c>
      <c r="C212" t="s">
        <v>82</v>
      </c>
      <c r="D212" s="8" t="s">
        <v>83</v>
      </c>
      <c r="E212" s="10">
        <v>6322</v>
      </c>
      <c r="F212" s="119">
        <f t="shared" si="22"/>
        <v>44098</v>
      </c>
      <c r="G212" s="4">
        <v>44463</v>
      </c>
      <c r="H212" s="2" t="s">
        <v>28</v>
      </c>
      <c r="I212" s="2" t="s">
        <v>19</v>
      </c>
      <c r="J212" t="s">
        <v>46</v>
      </c>
      <c r="K212" s="7">
        <v>44270</v>
      </c>
      <c r="L212" s="3" t="s">
        <v>313</v>
      </c>
      <c r="M212" s="36">
        <f t="shared" ca="1" si="18"/>
        <v>44322</v>
      </c>
      <c r="N212" s="37" t="str">
        <f t="shared" ca="1" si="19"/>
        <v>NO</v>
      </c>
      <c r="O212" s="38">
        <f t="shared" ca="1" si="20"/>
        <v>141</v>
      </c>
      <c r="P212" s="39" t="str">
        <f t="shared" ca="1" si="21"/>
        <v>CALIBRADO</v>
      </c>
      <c r="Q212" s="86" t="s">
        <v>444</v>
      </c>
      <c r="R212" t="s">
        <v>476</v>
      </c>
    </row>
    <row r="213" spans="1:18" x14ac:dyDescent="0.3">
      <c r="A213" t="s">
        <v>25</v>
      </c>
      <c r="B213" t="s">
        <v>68</v>
      </c>
      <c r="C213" t="s">
        <v>82</v>
      </c>
      <c r="D213" s="8" t="s">
        <v>234</v>
      </c>
      <c r="E213" s="10" t="s">
        <v>308</v>
      </c>
      <c r="F213" s="119">
        <f t="shared" si="22"/>
        <v>44098</v>
      </c>
      <c r="G213" s="4">
        <v>44463</v>
      </c>
      <c r="H213" s="2" t="s">
        <v>28</v>
      </c>
      <c r="I213" s="2" t="s">
        <v>19</v>
      </c>
      <c r="J213" t="s">
        <v>46</v>
      </c>
      <c r="K213" s="7">
        <v>44270</v>
      </c>
      <c r="L213" s="3" t="s">
        <v>313</v>
      </c>
      <c r="M213" s="36">
        <f t="shared" ca="1" si="18"/>
        <v>44322</v>
      </c>
      <c r="N213" s="37" t="str">
        <f t="shared" ca="1" si="19"/>
        <v>NO</v>
      </c>
      <c r="O213" s="38">
        <f t="shared" ca="1" si="20"/>
        <v>141</v>
      </c>
      <c r="P213" s="39" t="str">
        <f t="shared" ca="1" si="21"/>
        <v>CALIBRADO</v>
      </c>
      <c r="Q213" s="86" t="s">
        <v>441</v>
      </c>
      <c r="R213" t="s">
        <v>476</v>
      </c>
    </row>
    <row r="214" spans="1:18" x14ac:dyDescent="0.3">
      <c r="A214" s="102" t="s">
        <v>25</v>
      </c>
      <c r="B214" s="102" t="s">
        <v>68</v>
      </c>
      <c r="C214" s="102" t="s">
        <v>64</v>
      </c>
      <c r="D214" s="108" t="s">
        <v>234</v>
      </c>
      <c r="E214" s="64">
        <v>3689</v>
      </c>
      <c r="F214" s="121">
        <f t="shared" si="22"/>
        <v>44099</v>
      </c>
      <c r="G214" s="100">
        <v>44464</v>
      </c>
      <c r="H214" s="101" t="s">
        <v>28</v>
      </c>
      <c r="I214" s="101" t="s">
        <v>19</v>
      </c>
      <c r="J214" s="102" t="s">
        <v>46</v>
      </c>
      <c r="K214" s="103">
        <v>44270</v>
      </c>
      <c r="L214" s="98" t="s">
        <v>313</v>
      </c>
      <c r="M214" s="109">
        <f t="shared" ca="1" si="18"/>
        <v>44322</v>
      </c>
      <c r="N214" s="110" t="str">
        <f t="shared" ca="1" si="19"/>
        <v>NO</v>
      </c>
      <c r="O214" s="111">
        <f t="shared" ca="1" si="20"/>
        <v>142</v>
      </c>
      <c r="P214" s="112" t="str">
        <f t="shared" ca="1" si="21"/>
        <v>CALIBRADO</v>
      </c>
      <c r="Q214" s="92" t="s">
        <v>443</v>
      </c>
      <c r="R214" s="114" t="s">
        <v>476</v>
      </c>
    </row>
    <row r="215" spans="1:18" x14ac:dyDescent="0.3">
      <c r="A215" t="s">
        <v>25</v>
      </c>
      <c r="B215" t="s">
        <v>68</v>
      </c>
      <c r="C215" t="s">
        <v>98</v>
      </c>
      <c r="D215" s="8" t="s">
        <v>41</v>
      </c>
      <c r="E215" s="10" t="s">
        <v>235</v>
      </c>
      <c r="F215" s="119">
        <f t="shared" si="22"/>
        <v>44112</v>
      </c>
      <c r="G215" s="4">
        <v>44477</v>
      </c>
      <c r="H215" s="2" t="s">
        <v>28</v>
      </c>
      <c r="I215" s="2" t="s">
        <v>19</v>
      </c>
      <c r="J215" t="s">
        <v>46</v>
      </c>
      <c r="K215" s="7">
        <v>44270</v>
      </c>
      <c r="L215" s="3" t="s">
        <v>313</v>
      </c>
      <c r="M215" s="36">
        <f t="shared" ca="1" si="18"/>
        <v>44322</v>
      </c>
      <c r="N215" s="37" t="str">
        <f t="shared" ca="1" si="19"/>
        <v>NO</v>
      </c>
      <c r="O215" s="38">
        <f t="shared" ca="1" si="20"/>
        <v>155</v>
      </c>
      <c r="P215" s="39" t="str">
        <f t="shared" ca="1" si="21"/>
        <v>CALIBRADO</v>
      </c>
      <c r="Q215" s="86" t="s">
        <v>439</v>
      </c>
      <c r="R215" t="s">
        <v>476</v>
      </c>
    </row>
    <row r="216" spans="1:18" x14ac:dyDescent="0.3">
      <c r="A216" t="s">
        <v>25</v>
      </c>
      <c r="B216" t="s">
        <v>68</v>
      </c>
      <c r="C216" t="s">
        <v>98</v>
      </c>
      <c r="D216" s="8" t="s">
        <v>41</v>
      </c>
      <c r="E216" s="10" t="s">
        <v>236</v>
      </c>
      <c r="F216" s="119">
        <f t="shared" si="22"/>
        <v>44112</v>
      </c>
      <c r="G216" s="4">
        <v>44477</v>
      </c>
      <c r="H216" s="2" t="s">
        <v>28</v>
      </c>
      <c r="I216" s="2" t="s">
        <v>19</v>
      </c>
      <c r="J216" t="s">
        <v>46</v>
      </c>
      <c r="K216" s="7">
        <v>44270</v>
      </c>
      <c r="L216" s="3" t="s">
        <v>313</v>
      </c>
      <c r="M216" s="36">
        <f t="shared" ca="1" si="18"/>
        <v>44322</v>
      </c>
      <c r="N216" s="37" t="str">
        <f t="shared" ca="1" si="19"/>
        <v>NO</v>
      </c>
      <c r="O216" s="38">
        <f t="shared" ca="1" si="20"/>
        <v>155</v>
      </c>
      <c r="P216" s="39" t="str">
        <f t="shared" ca="1" si="21"/>
        <v>CALIBRADO</v>
      </c>
      <c r="Q216" s="86" t="s">
        <v>447</v>
      </c>
      <c r="R216" t="s">
        <v>476</v>
      </c>
    </row>
    <row r="217" spans="1:18" x14ac:dyDescent="0.3">
      <c r="A217" t="s">
        <v>25</v>
      </c>
      <c r="B217" t="s">
        <v>68</v>
      </c>
      <c r="C217" t="s">
        <v>82</v>
      </c>
      <c r="D217" s="8" t="s">
        <v>234</v>
      </c>
      <c r="E217" s="10">
        <v>19011118</v>
      </c>
      <c r="F217" s="119">
        <f t="shared" si="22"/>
        <v>44159</v>
      </c>
      <c r="G217" s="4">
        <v>44524</v>
      </c>
      <c r="H217" s="2" t="s">
        <v>28</v>
      </c>
      <c r="I217" s="2" t="s">
        <v>19</v>
      </c>
      <c r="J217" t="s">
        <v>46</v>
      </c>
      <c r="K217" s="7">
        <v>44270</v>
      </c>
      <c r="L217" s="3" t="s">
        <v>313</v>
      </c>
      <c r="M217" s="36">
        <f t="shared" ca="1" si="18"/>
        <v>44322</v>
      </c>
      <c r="N217" s="37" t="str">
        <f t="shared" ca="1" si="19"/>
        <v>NO</v>
      </c>
      <c r="O217" s="38">
        <f t="shared" ca="1" si="20"/>
        <v>202</v>
      </c>
      <c r="P217" s="39" t="str">
        <f t="shared" ca="1" si="21"/>
        <v>CALIBRADO</v>
      </c>
      <c r="Q217" s="86" t="s">
        <v>442</v>
      </c>
      <c r="R217" t="s">
        <v>476</v>
      </c>
    </row>
    <row r="218" spans="1:18" x14ac:dyDescent="0.3">
      <c r="A218" t="s">
        <v>25</v>
      </c>
      <c r="B218" t="s">
        <v>68</v>
      </c>
      <c r="C218" t="s">
        <v>64</v>
      </c>
      <c r="D218" s="8" t="s">
        <v>130</v>
      </c>
      <c r="E218" s="10" t="s">
        <v>238</v>
      </c>
      <c r="F218" s="119">
        <f t="shared" si="22"/>
        <v>44174</v>
      </c>
      <c r="G218" s="4">
        <v>44539</v>
      </c>
      <c r="H218" s="2" t="s">
        <v>28</v>
      </c>
      <c r="I218" s="2" t="s">
        <v>19</v>
      </c>
      <c r="J218" t="s">
        <v>46</v>
      </c>
      <c r="K218" s="7">
        <v>44270</v>
      </c>
      <c r="L218" s="3" t="s">
        <v>313</v>
      </c>
      <c r="M218" s="36">
        <f t="shared" ca="1" si="18"/>
        <v>44322</v>
      </c>
      <c r="N218" s="37" t="str">
        <f t="shared" ca="1" si="19"/>
        <v>NO</v>
      </c>
      <c r="O218" s="38">
        <f t="shared" ca="1" si="20"/>
        <v>217</v>
      </c>
      <c r="P218" s="39" t="str">
        <f t="shared" ca="1" si="21"/>
        <v>CALIBRADO</v>
      </c>
      <c r="Q218" t="s">
        <v>348</v>
      </c>
      <c r="R218" s="90" t="s">
        <v>440</v>
      </c>
    </row>
    <row r="219" spans="1:18" x14ac:dyDescent="0.3">
      <c r="A219" t="s">
        <v>25</v>
      </c>
      <c r="B219" t="s">
        <v>68</v>
      </c>
      <c r="C219" t="s">
        <v>98</v>
      </c>
      <c r="D219" s="8" t="s">
        <v>41</v>
      </c>
      <c r="E219" s="10" t="s">
        <v>307</v>
      </c>
      <c r="F219" s="119">
        <f t="shared" si="22"/>
        <v>44249</v>
      </c>
      <c r="G219" s="4">
        <v>44614</v>
      </c>
      <c r="H219" s="2" t="s">
        <v>28</v>
      </c>
      <c r="I219" s="2" t="s">
        <v>19</v>
      </c>
      <c r="J219" t="s">
        <v>46</v>
      </c>
      <c r="K219" s="7">
        <v>44270</v>
      </c>
      <c r="L219" s="3" t="s">
        <v>313</v>
      </c>
      <c r="M219" s="36">
        <f t="shared" ca="1" si="18"/>
        <v>44322</v>
      </c>
      <c r="N219" s="37" t="str">
        <f t="shared" ca="1" si="19"/>
        <v>NO</v>
      </c>
      <c r="O219" s="38">
        <f t="shared" ca="1" si="20"/>
        <v>292</v>
      </c>
      <c r="P219" s="39" t="str">
        <f t="shared" ca="1" si="21"/>
        <v>CALIBRADO</v>
      </c>
      <c r="Q219" s="86" t="s">
        <v>438</v>
      </c>
      <c r="R219" t="s">
        <v>476</v>
      </c>
    </row>
    <row r="220" spans="1:18" x14ac:dyDescent="0.3">
      <c r="A220" t="s">
        <v>25</v>
      </c>
      <c r="B220" t="s">
        <v>68</v>
      </c>
      <c r="C220" t="s">
        <v>98</v>
      </c>
      <c r="D220" s="8" t="s">
        <v>41</v>
      </c>
      <c r="E220" s="67" t="s">
        <v>326</v>
      </c>
      <c r="F220" s="124">
        <f t="shared" si="22"/>
        <v>44109</v>
      </c>
      <c r="G220" s="68">
        <v>44474</v>
      </c>
      <c r="H220" s="2" t="s">
        <v>28</v>
      </c>
      <c r="I220" s="2" t="s">
        <v>23</v>
      </c>
      <c r="J220" t="s">
        <v>34</v>
      </c>
      <c r="K220" s="7">
        <v>44259</v>
      </c>
      <c r="L220" s="3" t="s">
        <v>327</v>
      </c>
      <c r="M220" s="36">
        <f t="shared" ca="1" si="18"/>
        <v>44322</v>
      </c>
      <c r="N220" s="37" t="str">
        <f t="shared" ca="1" si="19"/>
        <v>NO</v>
      </c>
      <c r="O220" s="38">
        <f t="shared" ca="1" si="20"/>
        <v>152</v>
      </c>
      <c r="P220" s="39" t="str">
        <f t="shared" ca="1" si="21"/>
        <v>CALIBRADO</v>
      </c>
      <c r="Q220" s="86" t="s">
        <v>446</v>
      </c>
      <c r="R220" t="s">
        <v>476</v>
      </c>
    </row>
    <row r="221" spans="1:18" x14ac:dyDescent="0.3">
      <c r="A221" t="s">
        <v>32</v>
      </c>
      <c r="B221" t="s">
        <v>39</v>
      </c>
      <c r="C221" t="s">
        <v>82</v>
      </c>
      <c r="D221" s="8" t="s">
        <v>136</v>
      </c>
      <c r="E221" s="10" t="s">
        <v>239</v>
      </c>
      <c r="F221" s="119">
        <f t="shared" si="22"/>
        <v>44049</v>
      </c>
      <c r="G221" s="4">
        <v>44414</v>
      </c>
      <c r="H221" s="2" t="s">
        <v>28</v>
      </c>
      <c r="I221" s="2" t="s">
        <v>19</v>
      </c>
      <c r="J221" t="s">
        <v>46</v>
      </c>
      <c r="K221" s="7">
        <v>44270</v>
      </c>
      <c r="L221" s="3" t="s">
        <v>313</v>
      </c>
      <c r="M221" s="36">
        <f t="shared" ca="1" si="18"/>
        <v>44322</v>
      </c>
      <c r="N221" s="37" t="str">
        <f t="shared" ca="1" si="19"/>
        <v>NO</v>
      </c>
      <c r="O221" s="38">
        <f t="shared" ca="1" si="20"/>
        <v>92</v>
      </c>
      <c r="P221" s="39" t="str">
        <f t="shared" ca="1" si="21"/>
        <v>CALIBRADO</v>
      </c>
      <c r="Q221" t="s">
        <v>348</v>
      </c>
    </row>
    <row r="222" spans="1:18" x14ac:dyDescent="0.3">
      <c r="A222" t="s">
        <v>32</v>
      </c>
      <c r="B222" t="s">
        <v>39</v>
      </c>
      <c r="C222" t="s">
        <v>149</v>
      </c>
      <c r="D222" s="8" t="s">
        <v>150</v>
      </c>
      <c r="E222" s="10" t="s">
        <v>161</v>
      </c>
      <c r="F222" s="119">
        <f t="shared" si="22"/>
        <v>44054</v>
      </c>
      <c r="G222" s="4">
        <v>44419</v>
      </c>
      <c r="H222" s="2" t="s">
        <v>28</v>
      </c>
      <c r="I222" s="2" t="s">
        <v>19</v>
      </c>
      <c r="J222" t="s">
        <v>46</v>
      </c>
      <c r="K222" s="7">
        <v>44270</v>
      </c>
      <c r="L222" s="3" t="s">
        <v>313</v>
      </c>
      <c r="M222" s="36">
        <f t="shared" ca="1" si="18"/>
        <v>44322</v>
      </c>
      <c r="N222" s="37" t="str">
        <f t="shared" ca="1" si="19"/>
        <v>NO</v>
      </c>
      <c r="O222" s="38">
        <f t="shared" ca="1" si="20"/>
        <v>97</v>
      </c>
      <c r="P222" s="39" t="str">
        <f t="shared" ca="1" si="21"/>
        <v>CALIBRADO</v>
      </c>
      <c r="Q222" s="86" t="s">
        <v>397</v>
      </c>
      <c r="R222" t="s">
        <v>476</v>
      </c>
    </row>
    <row r="223" spans="1:18" x14ac:dyDescent="0.3">
      <c r="A223" t="s">
        <v>32</v>
      </c>
      <c r="B223" t="s">
        <v>39</v>
      </c>
      <c r="C223" t="s">
        <v>98</v>
      </c>
      <c r="D223" s="8" t="s">
        <v>41</v>
      </c>
      <c r="E223" s="10" t="s">
        <v>242</v>
      </c>
      <c r="F223" s="119">
        <f t="shared" si="22"/>
        <v>44063</v>
      </c>
      <c r="G223" s="4">
        <v>44428</v>
      </c>
      <c r="H223" s="2" t="s">
        <v>28</v>
      </c>
      <c r="I223" s="2" t="s">
        <v>19</v>
      </c>
      <c r="J223" t="s">
        <v>46</v>
      </c>
      <c r="K223" s="7">
        <v>44270</v>
      </c>
      <c r="L223" s="3" t="s">
        <v>313</v>
      </c>
      <c r="M223" s="36">
        <f t="shared" ca="1" si="18"/>
        <v>44322</v>
      </c>
      <c r="N223" s="37" t="str">
        <f t="shared" ca="1" si="19"/>
        <v>NO</v>
      </c>
      <c r="O223" s="38">
        <f t="shared" ca="1" si="20"/>
        <v>106</v>
      </c>
      <c r="P223" s="39" t="str">
        <f t="shared" ca="1" si="21"/>
        <v>CALIBRADO</v>
      </c>
      <c r="Q223" t="s">
        <v>348</v>
      </c>
    </row>
    <row r="224" spans="1:18" x14ac:dyDescent="0.3">
      <c r="A224" t="s">
        <v>32</v>
      </c>
      <c r="B224" t="s">
        <v>39</v>
      </c>
      <c r="C224" t="s">
        <v>64</v>
      </c>
      <c r="D224" s="8" t="s">
        <v>125</v>
      </c>
      <c r="E224" s="10">
        <v>16159077</v>
      </c>
      <c r="F224" s="119">
        <f t="shared" si="22"/>
        <v>44064</v>
      </c>
      <c r="G224" s="4">
        <v>44429</v>
      </c>
      <c r="H224" s="2" t="s">
        <v>28</v>
      </c>
      <c r="I224" s="2" t="s">
        <v>19</v>
      </c>
      <c r="J224" t="s">
        <v>46</v>
      </c>
      <c r="K224" s="7">
        <v>44270</v>
      </c>
      <c r="L224" s="3" t="s">
        <v>313</v>
      </c>
      <c r="M224" s="36">
        <f t="shared" ca="1" si="18"/>
        <v>44322</v>
      </c>
      <c r="N224" s="37" t="str">
        <f t="shared" ca="1" si="19"/>
        <v>NO</v>
      </c>
      <c r="O224" s="38">
        <f t="shared" ca="1" si="20"/>
        <v>107</v>
      </c>
      <c r="P224" s="39" t="str">
        <f t="shared" ca="1" si="21"/>
        <v>CALIBRADO</v>
      </c>
      <c r="Q224" t="s">
        <v>348</v>
      </c>
    </row>
    <row r="225" spans="1:18" x14ac:dyDescent="0.3">
      <c r="A225" t="s">
        <v>32</v>
      </c>
      <c r="B225" t="s">
        <v>39</v>
      </c>
      <c r="C225" t="s">
        <v>64</v>
      </c>
      <c r="D225" s="8" t="s">
        <v>155</v>
      </c>
      <c r="E225" s="10">
        <v>777397</v>
      </c>
      <c r="F225" s="119">
        <f t="shared" si="22"/>
        <v>44148</v>
      </c>
      <c r="G225" s="4">
        <v>44513</v>
      </c>
      <c r="H225" s="2" t="s">
        <v>28</v>
      </c>
      <c r="I225" s="2" t="s">
        <v>19</v>
      </c>
      <c r="J225" t="s">
        <v>46</v>
      </c>
      <c r="K225" s="7">
        <v>44270</v>
      </c>
      <c r="L225" s="3" t="s">
        <v>313</v>
      </c>
      <c r="M225" s="36">
        <f t="shared" ca="1" si="18"/>
        <v>44322</v>
      </c>
      <c r="N225" s="37" t="str">
        <f t="shared" ca="1" si="19"/>
        <v>NO</v>
      </c>
      <c r="O225" s="38">
        <f t="shared" ca="1" si="20"/>
        <v>191</v>
      </c>
      <c r="P225" s="39" t="str">
        <f t="shared" ca="1" si="21"/>
        <v>CALIBRADO</v>
      </c>
      <c r="Q225" t="s">
        <v>348</v>
      </c>
    </row>
    <row r="226" spans="1:18" x14ac:dyDescent="0.3">
      <c r="A226" t="s">
        <v>32</v>
      </c>
      <c r="B226" t="s">
        <v>39</v>
      </c>
      <c r="C226" t="s">
        <v>98</v>
      </c>
      <c r="D226" s="8" t="s">
        <v>41</v>
      </c>
      <c r="E226" s="10" t="s">
        <v>245</v>
      </c>
      <c r="F226" s="119">
        <f t="shared" si="22"/>
        <v>44238</v>
      </c>
      <c r="G226" s="4">
        <v>44603</v>
      </c>
      <c r="H226" s="2" t="s">
        <v>28</v>
      </c>
      <c r="I226" s="2" t="s">
        <v>19</v>
      </c>
      <c r="J226" t="s">
        <v>46</v>
      </c>
      <c r="K226" s="7">
        <v>44270</v>
      </c>
      <c r="L226" s="3" t="s">
        <v>313</v>
      </c>
      <c r="M226" s="36">
        <f t="shared" ca="1" si="18"/>
        <v>44322</v>
      </c>
      <c r="N226" s="37" t="str">
        <f t="shared" ca="1" si="19"/>
        <v>NO</v>
      </c>
      <c r="O226" s="38">
        <f t="shared" ca="1" si="20"/>
        <v>281</v>
      </c>
      <c r="P226" s="39" t="str">
        <f t="shared" ca="1" si="21"/>
        <v>CALIBRADO</v>
      </c>
      <c r="Q226" t="s">
        <v>348</v>
      </c>
    </row>
    <row r="227" spans="1:18" x14ac:dyDescent="0.3">
      <c r="A227" t="s">
        <v>32</v>
      </c>
      <c r="B227" t="s">
        <v>39</v>
      </c>
      <c r="C227" t="s">
        <v>82</v>
      </c>
      <c r="D227" s="8" t="s">
        <v>177</v>
      </c>
      <c r="E227" s="10" t="s">
        <v>240</v>
      </c>
      <c r="F227" s="119">
        <f t="shared" si="22"/>
        <v>43914</v>
      </c>
      <c r="G227" s="4">
        <v>44279</v>
      </c>
      <c r="H227" s="2" t="s">
        <v>28</v>
      </c>
      <c r="I227" s="2" t="s">
        <v>19</v>
      </c>
      <c r="J227" t="s">
        <v>46</v>
      </c>
      <c r="K227" s="7">
        <v>44270</v>
      </c>
      <c r="L227" s="3" t="s">
        <v>313</v>
      </c>
      <c r="M227" s="36">
        <f t="shared" ca="1" si="18"/>
        <v>44322</v>
      </c>
      <c r="N227" s="37" t="str">
        <f t="shared" ca="1" si="19"/>
        <v>SI</v>
      </c>
      <c r="O227" s="38">
        <f t="shared" ca="1" si="20"/>
        <v>-43</v>
      </c>
      <c r="P227" s="39" t="str">
        <f t="shared" ca="1" si="21"/>
        <v>DESCALIBRADO</v>
      </c>
      <c r="Q227" t="s">
        <v>348</v>
      </c>
    </row>
    <row r="228" spans="1:18" x14ac:dyDescent="0.3">
      <c r="A228" t="s">
        <v>32</v>
      </c>
      <c r="B228" t="s">
        <v>16</v>
      </c>
      <c r="C228" t="s">
        <v>98</v>
      </c>
      <c r="D228" s="8" t="s">
        <v>41</v>
      </c>
      <c r="E228" s="10" t="s">
        <v>247</v>
      </c>
      <c r="F228" s="119">
        <f t="shared" si="22"/>
        <v>43899</v>
      </c>
      <c r="G228" s="4">
        <v>44264</v>
      </c>
      <c r="H228" s="2" t="s">
        <v>28</v>
      </c>
      <c r="I228" s="2" t="s">
        <v>19</v>
      </c>
      <c r="J228" t="s">
        <v>46</v>
      </c>
      <c r="K228" s="7">
        <v>44270</v>
      </c>
      <c r="L228" s="3" t="s">
        <v>313</v>
      </c>
      <c r="M228" s="36">
        <f t="shared" ca="1" si="18"/>
        <v>44322</v>
      </c>
      <c r="N228" s="37" t="str">
        <f t="shared" ca="1" si="19"/>
        <v>SI</v>
      </c>
      <c r="O228" s="38">
        <f t="shared" ca="1" si="20"/>
        <v>-58</v>
      </c>
      <c r="P228" s="39" t="str">
        <f t="shared" ca="1" si="21"/>
        <v>DESCALIBRADO</v>
      </c>
      <c r="Q228" t="s">
        <v>348</v>
      </c>
    </row>
    <row r="229" spans="1:18" x14ac:dyDescent="0.3">
      <c r="A229" t="s">
        <v>32</v>
      </c>
      <c r="B229" t="s">
        <v>16</v>
      </c>
      <c r="C229" t="s">
        <v>98</v>
      </c>
      <c r="D229" s="8" t="s">
        <v>41</v>
      </c>
      <c r="E229" s="10" t="s">
        <v>246</v>
      </c>
      <c r="F229" s="119">
        <f t="shared" si="22"/>
        <v>43963</v>
      </c>
      <c r="G229" s="4">
        <v>44328</v>
      </c>
      <c r="H229" s="2" t="s">
        <v>28</v>
      </c>
      <c r="I229" s="2" t="s">
        <v>19</v>
      </c>
      <c r="J229" t="s">
        <v>46</v>
      </c>
      <c r="K229" s="7">
        <v>44270</v>
      </c>
      <c r="L229" s="3" t="s">
        <v>313</v>
      </c>
      <c r="M229" s="36">
        <f t="shared" ca="1" si="18"/>
        <v>44322</v>
      </c>
      <c r="N229" s="37" t="str">
        <f t="shared" ca="1" si="19"/>
        <v xml:space="preserve">NO </v>
      </c>
      <c r="O229" s="38">
        <f t="shared" ca="1" si="20"/>
        <v>6</v>
      </c>
      <c r="P229" s="39" t="str">
        <f t="shared" ca="1" si="21"/>
        <v>POR CALIBRAR</v>
      </c>
      <c r="Q229" t="s">
        <v>348</v>
      </c>
    </row>
    <row r="230" spans="1:18" x14ac:dyDescent="0.3">
      <c r="A230" t="s">
        <v>32</v>
      </c>
      <c r="B230" t="s">
        <v>16</v>
      </c>
      <c r="C230" t="s">
        <v>82</v>
      </c>
      <c r="D230" s="8" t="s">
        <v>136</v>
      </c>
      <c r="E230" s="10" t="s">
        <v>243</v>
      </c>
      <c r="F230" s="119">
        <f t="shared" si="22"/>
        <v>44024</v>
      </c>
      <c r="G230" s="4">
        <v>44389</v>
      </c>
      <c r="H230" s="2" t="s">
        <v>28</v>
      </c>
      <c r="I230" s="2" t="s">
        <v>19</v>
      </c>
      <c r="J230" t="s">
        <v>46</v>
      </c>
      <c r="K230" s="7">
        <v>44270</v>
      </c>
      <c r="L230" s="3" t="s">
        <v>313</v>
      </c>
      <c r="M230" s="36">
        <f t="shared" ca="1" si="18"/>
        <v>44322</v>
      </c>
      <c r="N230" s="37" t="str">
        <f t="shared" ca="1" si="19"/>
        <v>NO</v>
      </c>
      <c r="O230" s="38">
        <f t="shared" ca="1" si="20"/>
        <v>67</v>
      </c>
      <c r="P230" s="39" t="str">
        <f t="shared" ca="1" si="21"/>
        <v>CALIBRADO</v>
      </c>
      <c r="Q230" t="s">
        <v>348</v>
      </c>
    </row>
    <row r="231" spans="1:18" x14ac:dyDescent="0.3">
      <c r="A231" t="s">
        <v>32</v>
      </c>
      <c r="B231" t="s">
        <v>16</v>
      </c>
      <c r="C231" t="s">
        <v>82</v>
      </c>
      <c r="D231" s="8" t="s">
        <v>136</v>
      </c>
      <c r="E231" s="10" t="s">
        <v>244</v>
      </c>
      <c r="F231" s="119">
        <f t="shared" si="22"/>
        <v>44064</v>
      </c>
      <c r="G231" s="4">
        <v>44429</v>
      </c>
      <c r="H231" s="2" t="s">
        <v>28</v>
      </c>
      <c r="I231" s="2" t="s">
        <v>19</v>
      </c>
      <c r="J231" t="s">
        <v>46</v>
      </c>
      <c r="K231" s="7">
        <v>44270</v>
      </c>
      <c r="L231" s="3" t="s">
        <v>313</v>
      </c>
      <c r="M231" s="36">
        <f t="shared" ca="1" si="18"/>
        <v>44322</v>
      </c>
      <c r="N231" s="37" t="str">
        <f t="shared" ca="1" si="19"/>
        <v>NO</v>
      </c>
      <c r="O231" s="38">
        <f t="shared" ca="1" si="20"/>
        <v>107</v>
      </c>
      <c r="P231" s="39" t="str">
        <f t="shared" ca="1" si="21"/>
        <v>CALIBRADO</v>
      </c>
      <c r="Q231" t="s">
        <v>348</v>
      </c>
    </row>
    <row r="232" spans="1:18" x14ac:dyDescent="0.3">
      <c r="A232" t="s">
        <v>32</v>
      </c>
      <c r="B232" t="s">
        <v>16</v>
      </c>
      <c r="C232" t="s">
        <v>64</v>
      </c>
      <c r="D232" s="8" t="s">
        <v>125</v>
      </c>
      <c r="E232" s="10">
        <v>18159153</v>
      </c>
      <c r="F232" s="119">
        <f t="shared" si="22"/>
        <v>44093</v>
      </c>
      <c r="G232" s="4">
        <v>44458</v>
      </c>
      <c r="H232" s="2" t="s">
        <v>28</v>
      </c>
      <c r="I232" s="2" t="s">
        <v>19</v>
      </c>
      <c r="J232" t="s">
        <v>46</v>
      </c>
      <c r="K232" s="7">
        <v>44270</v>
      </c>
      <c r="L232" s="3" t="s">
        <v>313</v>
      </c>
      <c r="M232" s="36">
        <f t="shared" ca="1" si="18"/>
        <v>44322</v>
      </c>
      <c r="N232" s="37" t="str">
        <f t="shared" ca="1" si="19"/>
        <v>NO</v>
      </c>
      <c r="O232" s="38">
        <f t="shared" ca="1" si="20"/>
        <v>136</v>
      </c>
      <c r="P232" s="39" t="str">
        <f t="shared" ca="1" si="21"/>
        <v>CALIBRADO</v>
      </c>
      <c r="Q232" t="s">
        <v>348</v>
      </c>
    </row>
    <row r="233" spans="1:18" x14ac:dyDescent="0.3">
      <c r="A233" t="s">
        <v>50</v>
      </c>
      <c r="B233" t="s">
        <v>79</v>
      </c>
      <c r="C233" t="s">
        <v>188</v>
      </c>
      <c r="D233" s="8" t="s">
        <v>266</v>
      </c>
      <c r="E233" s="10">
        <v>2511837</v>
      </c>
      <c r="F233" s="119">
        <f t="shared" si="22"/>
        <v>43984</v>
      </c>
      <c r="G233" s="4">
        <v>44349</v>
      </c>
      <c r="H233" s="2" t="s">
        <v>28</v>
      </c>
      <c r="I233" s="2" t="s">
        <v>19</v>
      </c>
      <c r="J233" t="s">
        <v>46</v>
      </c>
      <c r="K233" s="7">
        <v>44270</v>
      </c>
      <c r="L233" s="3" t="s">
        <v>313</v>
      </c>
      <c r="M233" s="36">
        <f t="shared" ref="M233:M295" ca="1" si="23">TODAY()</f>
        <v>44322</v>
      </c>
      <c r="N233" s="37" t="str">
        <f t="shared" ca="1" si="19"/>
        <v>NO</v>
      </c>
      <c r="O233" s="38">
        <f t="shared" ca="1" si="20"/>
        <v>27</v>
      </c>
      <c r="P233" s="39" t="str">
        <f t="shared" ca="1" si="21"/>
        <v>CALIBRADO</v>
      </c>
      <c r="Q233" s="86" t="s">
        <v>401</v>
      </c>
      <c r="R233" t="s">
        <v>476</v>
      </c>
    </row>
    <row r="234" spans="1:18" x14ac:dyDescent="0.3">
      <c r="A234" t="s">
        <v>50</v>
      </c>
      <c r="B234" t="s">
        <v>79</v>
      </c>
      <c r="C234" t="s">
        <v>82</v>
      </c>
      <c r="D234" s="8" t="s">
        <v>143</v>
      </c>
      <c r="E234" s="10" t="s">
        <v>248</v>
      </c>
      <c r="F234" s="119">
        <f t="shared" si="22"/>
        <v>44028</v>
      </c>
      <c r="G234" s="4">
        <v>44393</v>
      </c>
      <c r="H234" s="2" t="s">
        <v>28</v>
      </c>
      <c r="I234" s="2" t="s">
        <v>19</v>
      </c>
      <c r="J234" t="s">
        <v>46</v>
      </c>
      <c r="K234" s="7">
        <v>44270</v>
      </c>
      <c r="L234" s="3" t="s">
        <v>313</v>
      </c>
      <c r="M234" s="36">
        <f t="shared" ca="1" si="23"/>
        <v>44322</v>
      </c>
      <c r="N234" s="37" t="str">
        <f t="shared" ca="1" si="19"/>
        <v>NO</v>
      </c>
      <c r="O234" s="38">
        <f t="shared" ca="1" si="20"/>
        <v>71</v>
      </c>
      <c r="P234" s="39" t="str">
        <f t="shared" ca="1" si="21"/>
        <v>CALIBRADO</v>
      </c>
      <c r="Q234" s="86" t="s">
        <v>404</v>
      </c>
      <c r="R234" t="s">
        <v>476</v>
      </c>
    </row>
    <row r="235" spans="1:18" x14ac:dyDescent="0.3">
      <c r="A235" t="s">
        <v>50</v>
      </c>
      <c r="B235" t="s">
        <v>79</v>
      </c>
      <c r="C235" t="s">
        <v>64</v>
      </c>
      <c r="D235" s="8" t="s">
        <v>125</v>
      </c>
      <c r="E235" s="10">
        <v>17151553</v>
      </c>
      <c r="F235" s="119">
        <f t="shared" si="22"/>
        <v>44028</v>
      </c>
      <c r="G235" s="4">
        <v>44393</v>
      </c>
      <c r="H235" s="2" t="s">
        <v>28</v>
      </c>
      <c r="I235" s="2" t="s">
        <v>19</v>
      </c>
      <c r="J235" t="s">
        <v>46</v>
      </c>
      <c r="K235" s="7">
        <v>44270</v>
      </c>
      <c r="L235" s="3" t="s">
        <v>313</v>
      </c>
      <c r="M235" s="36">
        <f t="shared" ca="1" si="23"/>
        <v>44322</v>
      </c>
      <c r="N235" s="37" t="str">
        <f t="shared" ca="1" si="19"/>
        <v>NO</v>
      </c>
      <c r="O235" s="38">
        <f t="shared" ca="1" si="20"/>
        <v>71</v>
      </c>
      <c r="P235" s="39" t="str">
        <f t="shared" ca="1" si="21"/>
        <v>CALIBRADO</v>
      </c>
      <c r="Q235" s="86" t="s">
        <v>400</v>
      </c>
      <c r="R235" t="s">
        <v>476</v>
      </c>
    </row>
    <row r="236" spans="1:18" x14ac:dyDescent="0.3">
      <c r="A236" t="s">
        <v>50</v>
      </c>
      <c r="B236" t="s">
        <v>79</v>
      </c>
      <c r="C236" t="s">
        <v>98</v>
      </c>
      <c r="D236" s="8" t="s">
        <v>41</v>
      </c>
      <c r="E236" s="10" t="s">
        <v>250</v>
      </c>
      <c r="F236" s="119">
        <f t="shared" si="22"/>
        <v>44165</v>
      </c>
      <c r="G236" s="4">
        <v>44530</v>
      </c>
      <c r="H236" s="2" t="s">
        <v>28</v>
      </c>
      <c r="I236" s="2" t="s">
        <v>19</v>
      </c>
      <c r="J236" t="s">
        <v>46</v>
      </c>
      <c r="K236" s="7">
        <v>44270</v>
      </c>
      <c r="L236" s="3" t="s">
        <v>313</v>
      </c>
      <c r="M236" s="36">
        <f t="shared" ca="1" si="23"/>
        <v>44322</v>
      </c>
      <c r="N236" s="37" t="str">
        <f t="shared" ca="1" si="19"/>
        <v>NO</v>
      </c>
      <c r="O236" s="38">
        <f t="shared" ca="1" si="20"/>
        <v>208</v>
      </c>
      <c r="P236" s="39" t="str">
        <f t="shared" ca="1" si="21"/>
        <v>CALIBRADO</v>
      </c>
      <c r="Q236" s="86" t="s">
        <v>398</v>
      </c>
      <c r="R236" t="s">
        <v>476</v>
      </c>
    </row>
    <row r="237" spans="1:18" x14ac:dyDescent="0.3">
      <c r="A237" t="s">
        <v>50</v>
      </c>
      <c r="B237" t="s">
        <v>79</v>
      </c>
      <c r="C237" t="s">
        <v>98</v>
      </c>
      <c r="D237" s="8" t="s">
        <v>41</v>
      </c>
      <c r="E237" s="10">
        <v>1130259</v>
      </c>
      <c r="F237" s="119">
        <f t="shared" si="22"/>
        <v>44195</v>
      </c>
      <c r="G237" s="4">
        <v>44560</v>
      </c>
      <c r="H237" s="2" t="s">
        <v>28</v>
      </c>
      <c r="I237" s="2" t="s">
        <v>19</v>
      </c>
      <c r="J237" t="s">
        <v>46</v>
      </c>
      <c r="K237" s="7">
        <v>44270</v>
      </c>
      <c r="L237" s="3" t="s">
        <v>313</v>
      </c>
      <c r="M237" s="36">
        <f t="shared" ca="1" si="23"/>
        <v>44322</v>
      </c>
      <c r="N237" s="37" t="str">
        <f t="shared" ca="1" si="19"/>
        <v>NO</v>
      </c>
      <c r="O237" s="38">
        <f t="shared" ca="1" si="20"/>
        <v>238</v>
      </c>
      <c r="P237" s="39" t="str">
        <f t="shared" ca="1" si="21"/>
        <v>CALIBRADO</v>
      </c>
      <c r="Q237" s="86" t="s">
        <v>399</v>
      </c>
      <c r="R237" t="s">
        <v>476</v>
      </c>
    </row>
    <row r="238" spans="1:18" x14ac:dyDescent="0.3">
      <c r="A238" t="s">
        <v>50</v>
      </c>
      <c r="B238" t="s">
        <v>79</v>
      </c>
      <c r="C238" t="s">
        <v>98</v>
      </c>
      <c r="D238" s="8" t="s">
        <v>41</v>
      </c>
      <c r="E238" s="10" t="s">
        <v>249</v>
      </c>
      <c r="F238" s="119">
        <f t="shared" si="22"/>
        <v>44195</v>
      </c>
      <c r="G238" s="4">
        <v>44560</v>
      </c>
      <c r="H238" s="2" t="s">
        <v>28</v>
      </c>
      <c r="I238" s="2" t="s">
        <v>19</v>
      </c>
      <c r="J238" t="s">
        <v>46</v>
      </c>
      <c r="K238" s="7">
        <v>44270</v>
      </c>
      <c r="L238" s="3" t="s">
        <v>313</v>
      </c>
      <c r="M238" s="36">
        <f t="shared" ca="1" si="23"/>
        <v>44322</v>
      </c>
      <c r="N238" s="37" t="str">
        <f t="shared" ca="1" si="19"/>
        <v>NO</v>
      </c>
      <c r="O238" s="38">
        <f t="shared" ca="1" si="20"/>
        <v>238</v>
      </c>
      <c r="P238" s="39" t="str">
        <f t="shared" ca="1" si="21"/>
        <v>CALIBRADO</v>
      </c>
      <c r="Q238" t="s">
        <v>348</v>
      </c>
    </row>
    <row r="239" spans="1:18" x14ac:dyDescent="0.3">
      <c r="A239" t="s">
        <v>50</v>
      </c>
      <c r="B239" t="s">
        <v>79</v>
      </c>
      <c r="C239" t="s">
        <v>82</v>
      </c>
      <c r="D239" s="8" t="s">
        <v>136</v>
      </c>
      <c r="E239" s="10" t="s">
        <v>137</v>
      </c>
      <c r="F239" s="119">
        <f t="shared" si="22"/>
        <v>44214</v>
      </c>
      <c r="G239" s="4">
        <v>44579</v>
      </c>
      <c r="H239" s="2" t="s">
        <v>28</v>
      </c>
      <c r="I239" s="2" t="s">
        <v>19</v>
      </c>
      <c r="J239" t="s">
        <v>46</v>
      </c>
      <c r="K239" s="7">
        <v>44270</v>
      </c>
      <c r="L239" s="3" t="s">
        <v>313</v>
      </c>
      <c r="M239" s="36">
        <f t="shared" ca="1" si="23"/>
        <v>44322</v>
      </c>
      <c r="N239" s="37" t="str">
        <f t="shared" ca="1" si="19"/>
        <v>NO</v>
      </c>
      <c r="O239" s="38">
        <f t="shared" ca="1" si="20"/>
        <v>257</v>
      </c>
      <c r="P239" s="39" t="str">
        <f t="shared" ca="1" si="21"/>
        <v>CALIBRADO</v>
      </c>
      <c r="Q239" s="86" t="s">
        <v>402</v>
      </c>
      <c r="R239" t="s">
        <v>476</v>
      </c>
    </row>
    <row r="240" spans="1:18" x14ac:dyDescent="0.3">
      <c r="A240" t="s">
        <v>50</v>
      </c>
      <c r="B240" t="s">
        <v>79</v>
      </c>
      <c r="C240" t="s">
        <v>64</v>
      </c>
      <c r="D240" s="8" t="s">
        <v>96</v>
      </c>
      <c r="E240" s="10" t="s">
        <v>260</v>
      </c>
      <c r="F240" s="119">
        <f t="shared" si="22"/>
        <v>44214</v>
      </c>
      <c r="G240" s="4">
        <v>44579</v>
      </c>
      <c r="H240" s="2" t="s">
        <v>28</v>
      </c>
      <c r="I240" s="2" t="s">
        <v>19</v>
      </c>
      <c r="J240" t="s">
        <v>46</v>
      </c>
      <c r="K240" s="7">
        <v>44270</v>
      </c>
      <c r="L240" s="3" t="s">
        <v>313</v>
      </c>
      <c r="M240" s="36">
        <f t="shared" ca="1" si="23"/>
        <v>44322</v>
      </c>
      <c r="N240" s="37" t="str">
        <f t="shared" ca="1" si="19"/>
        <v>NO</v>
      </c>
      <c r="O240" s="38">
        <f t="shared" ca="1" si="20"/>
        <v>257</v>
      </c>
      <c r="P240" s="39" t="str">
        <f t="shared" ca="1" si="21"/>
        <v>CALIBRADO</v>
      </c>
      <c r="Q240" s="86" t="s">
        <v>403</v>
      </c>
      <c r="R240" t="s">
        <v>476</v>
      </c>
    </row>
    <row r="241" spans="1:18" x14ac:dyDescent="0.3">
      <c r="A241" t="s">
        <v>50</v>
      </c>
      <c r="B241" t="s">
        <v>79</v>
      </c>
      <c r="C241" t="s">
        <v>82</v>
      </c>
      <c r="D241" s="8" t="s">
        <v>83</v>
      </c>
      <c r="E241" s="10">
        <v>5803</v>
      </c>
      <c r="F241" s="119">
        <f t="shared" si="22"/>
        <v>44230</v>
      </c>
      <c r="G241" s="4">
        <v>44595</v>
      </c>
      <c r="H241" s="2" t="s">
        <v>28</v>
      </c>
      <c r="I241" s="2" t="s">
        <v>19</v>
      </c>
      <c r="J241" t="s">
        <v>46</v>
      </c>
      <c r="K241" s="7">
        <v>44270</v>
      </c>
      <c r="L241" s="3" t="s">
        <v>313</v>
      </c>
      <c r="M241" s="36">
        <f t="shared" ca="1" si="23"/>
        <v>44322</v>
      </c>
      <c r="N241" s="37" t="str">
        <f t="shared" ca="1" si="19"/>
        <v>NO</v>
      </c>
      <c r="O241" s="38">
        <f t="shared" ca="1" si="20"/>
        <v>273</v>
      </c>
      <c r="P241" s="39" t="str">
        <f t="shared" ca="1" si="21"/>
        <v>CALIBRADO</v>
      </c>
      <c r="Q241" t="s">
        <v>348</v>
      </c>
    </row>
    <row r="242" spans="1:18" x14ac:dyDescent="0.3">
      <c r="A242" t="s">
        <v>32</v>
      </c>
      <c r="B242" t="s">
        <v>26</v>
      </c>
      <c r="C242" t="s">
        <v>149</v>
      </c>
      <c r="D242" s="8" t="s">
        <v>150</v>
      </c>
      <c r="E242" s="10" t="s">
        <v>154</v>
      </c>
      <c r="F242" s="119">
        <f t="shared" si="22"/>
        <v>44054</v>
      </c>
      <c r="G242" s="4">
        <v>44419</v>
      </c>
      <c r="H242" s="2" t="s">
        <v>28</v>
      </c>
      <c r="I242" s="2" t="s">
        <v>19</v>
      </c>
      <c r="J242" t="s">
        <v>46</v>
      </c>
      <c r="K242" s="7">
        <v>44270</v>
      </c>
      <c r="L242" s="3" t="s">
        <v>313</v>
      </c>
      <c r="M242" s="36">
        <f t="shared" ca="1" si="23"/>
        <v>44322</v>
      </c>
      <c r="N242" s="37" t="str">
        <f t="shared" ca="1" si="19"/>
        <v>NO</v>
      </c>
      <c r="O242" s="38">
        <f t="shared" ca="1" si="20"/>
        <v>97</v>
      </c>
      <c r="P242" s="39" t="str">
        <f t="shared" ca="1" si="21"/>
        <v>CALIBRADO</v>
      </c>
      <c r="Q242" s="86" t="s">
        <v>350</v>
      </c>
      <c r="R242" t="s">
        <v>476</v>
      </c>
    </row>
    <row r="243" spans="1:18" x14ac:dyDescent="0.3">
      <c r="A243" t="s">
        <v>32</v>
      </c>
      <c r="B243" t="s">
        <v>26</v>
      </c>
      <c r="C243" t="s">
        <v>98</v>
      </c>
      <c r="D243" s="8" t="s">
        <v>41</v>
      </c>
      <c r="E243" s="10" t="s">
        <v>312</v>
      </c>
      <c r="F243" s="119">
        <f t="shared" si="22"/>
        <v>44238</v>
      </c>
      <c r="G243" s="4">
        <v>44603</v>
      </c>
      <c r="H243" s="2" t="s">
        <v>28</v>
      </c>
      <c r="I243" s="2" t="s">
        <v>19</v>
      </c>
      <c r="J243" t="s">
        <v>46</v>
      </c>
      <c r="K243" s="7">
        <v>44270</v>
      </c>
      <c r="L243" s="3" t="s">
        <v>313</v>
      </c>
      <c r="M243" s="36">
        <f t="shared" ca="1" si="23"/>
        <v>44322</v>
      </c>
      <c r="N243" s="37" t="str">
        <f t="shared" ca="1" si="19"/>
        <v>NO</v>
      </c>
      <c r="O243" s="38">
        <f t="shared" ca="1" si="20"/>
        <v>281</v>
      </c>
      <c r="P243" s="39" t="str">
        <f t="shared" ca="1" si="21"/>
        <v>CALIBRADO</v>
      </c>
      <c r="Q243" s="86" t="s">
        <v>349</v>
      </c>
      <c r="R243" t="s">
        <v>476</v>
      </c>
    </row>
    <row r="244" spans="1:18" x14ac:dyDescent="0.3">
      <c r="A244" t="s">
        <v>32</v>
      </c>
      <c r="B244" t="s">
        <v>53</v>
      </c>
      <c r="C244" t="s">
        <v>98</v>
      </c>
      <c r="D244" s="8" t="s">
        <v>41</v>
      </c>
      <c r="E244" s="10" t="s">
        <v>253</v>
      </c>
      <c r="F244" s="119">
        <f t="shared" si="22"/>
        <v>43977</v>
      </c>
      <c r="G244" s="4">
        <v>44342</v>
      </c>
      <c r="H244" s="2" t="s">
        <v>28</v>
      </c>
      <c r="I244" s="2" t="s">
        <v>19</v>
      </c>
      <c r="J244" t="s">
        <v>46</v>
      </c>
      <c r="K244" s="7">
        <v>44270</v>
      </c>
      <c r="L244" s="3" t="s">
        <v>313</v>
      </c>
      <c r="M244" s="36">
        <f t="shared" ca="1" si="23"/>
        <v>44322</v>
      </c>
      <c r="N244" s="37" t="str">
        <f t="shared" ca="1" si="19"/>
        <v>NO</v>
      </c>
      <c r="O244" s="38">
        <f t="shared" ca="1" si="20"/>
        <v>20</v>
      </c>
      <c r="P244" s="39" t="str">
        <f t="shared" ca="1" si="21"/>
        <v>CALIBRADO</v>
      </c>
      <c r="Q244" t="s">
        <v>348</v>
      </c>
    </row>
    <row r="245" spans="1:18" x14ac:dyDescent="0.3">
      <c r="A245" t="s">
        <v>32</v>
      </c>
      <c r="B245" t="s">
        <v>53</v>
      </c>
      <c r="C245" t="s">
        <v>82</v>
      </c>
      <c r="D245" s="8" t="s">
        <v>136</v>
      </c>
      <c r="E245" s="10" t="s">
        <v>254</v>
      </c>
      <c r="F245" s="119">
        <f t="shared" si="22"/>
        <v>44037</v>
      </c>
      <c r="G245" s="4">
        <v>44402</v>
      </c>
      <c r="H245" s="2" t="s">
        <v>28</v>
      </c>
      <c r="I245" s="2" t="s">
        <v>19</v>
      </c>
      <c r="J245" t="s">
        <v>46</v>
      </c>
      <c r="K245" s="7">
        <v>44270</v>
      </c>
      <c r="L245" s="3" t="s">
        <v>313</v>
      </c>
      <c r="M245" s="36">
        <f t="shared" ca="1" si="23"/>
        <v>44322</v>
      </c>
      <c r="N245" s="37" t="str">
        <f t="shared" ca="1" si="19"/>
        <v>NO</v>
      </c>
      <c r="O245" s="38">
        <f t="shared" ca="1" si="20"/>
        <v>80</v>
      </c>
      <c r="P245" s="39" t="str">
        <f t="shared" ca="1" si="21"/>
        <v>CALIBRADO</v>
      </c>
      <c r="Q245" s="86" t="s">
        <v>378</v>
      </c>
      <c r="R245" t="s">
        <v>476</v>
      </c>
    </row>
    <row r="246" spans="1:18" x14ac:dyDescent="0.3">
      <c r="A246" t="s">
        <v>32</v>
      </c>
      <c r="B246" t="s">
        <v>53</v>
      </c>
      <c r="C246" t="s">
        <v>82</v>
      </c>
      <c r="D246" s="8" t="s">
        <v>136</v>
      </c>
      <c r="E246" s="10" t="s">
        <v>255</v>
      </c>
      <c r="F246" s="119">
        <f t="shared" si="22"/>
        <v>44043</v>
      </c>
      <c r="G246" s="4">
        <v>44408</v>
      </c>
      <c r="H246" s="2" t="s">
        <v>28</v>
      </c>
      <c r="I246" s="2" t="s">
        <v>19</v>
      </c>
      <c r="J246" t="s">
        <v>46</v>
      </c>
      <c r="K246" s="7">
        <v>44270</v>
      </c>
      <c r="L246" s="3" t="s">
        <v>313</v>
      </c>
      <c r="M246" s="36">
        <f t="shared" ca="1" si="23"/>
        <v>44322</v>
      </c>
      <c r="N246" s="37" t="str">
        <f t="shared" ca="1" si="19"/>
        <v>NO</v>
      </c>
      <c r="O246" s="38">
        <f t="shared" ca="1" si="20"/>
        <v>86</v>
      </c>
      <c r="P246" s="39" t="str">
        <f t="shared" ca="1" si="21"/>
        <v>CALIBRADO</v>
      </c>
      <c r="Q246" t="s">
        <v>348</v>
      </c>
    </row>
    <row r="247" spans="1:18" x14ac:dyDescent="0.3">
      <c r="A247" t="s">
        <v>32</v>
      </c>
      <c r="B247" t="s">
        <v>53</v>
      </c>
      <c r="C247" t="s">
        <v>64</v>
      </c>
      <c r="D247" s="8" t="s">
        <v>125</v>
      </c>
      <c r="E247" s="10">
        <v>16159079</v>
      </c>
      <c r="F247" s="119">
        <f t="shared" si="22"/>
        <v>44064</v>
      </c>
      <c r="G247" s="4">
        <v>44429</v>
      </c>
      <c r="H247" s="2" t="s">
        <v>28</v>
      </c>
      <c r="I247" s="2" t="s">
        <v>19</v>
      </c>
      <c r="J247" t="s">
        <v>46</v>
      </c>
      <c r="K247" s="7">
        <v>44270</v>
      </c>
      <c r="L247" s="3" t="s">
        <v>313</v>
      </c>
      <c r="M247" s="36">
        <f t="shared" ca="1" si="23"/>
        <v>44322</v>
      </c>
      <c r="N247" s="37" t="str">
        <f t="shared" ca="1" si="19"/>
        <v>NO</v>
      </c>
      <c r="O247" s="38">
        <f t="shared" ca="1" si="20"/>
        <v>107</v>
      </c>
      <c r="P247" s="39" t="str">
        <f t="shared" ca="1" si="21"/>
        <v>CALIBRADO</v>
      </c>
      <c r="Q247" s="86" t="s">
        <v>377</v>
      </c>
      <c r="R247" t="s">
        <v>476</v>
      </c>
    </row>
    <row r="248" spans="1:18" x14ac:dyDescent="0.3">
      <c r="A248" t="s">
        <v>32</v>
      </c>
      <c r="B248" t="s">
        <v>54</v>
      </c>
      <c r="C248" t="s">
        <v>98</v>
      </c>
      <c r="D248" s="8" t="s">
        <v>41</v>
      </c>
      <c r="E248" s="10">
        <v>98110020</v>
      </c>
      <c r="F248" s="119">
        <f t="shared" si="22"/>
        <v>44043</v>
      </c>
      <c r="G248" s="4">
        <v>44408</v>
      </c>
      <c r="H248" s="2" t="s">
        <v>28</v>
      </c>
      <c r="I248" s="2" t="s">
        <v>19</v>
      </c>
      <c r="J248" t="s">
        <v>46</v>
      </c>
      <c r="K248" s="7">
        <v>44270</v>
      </c>
      <c r="L248" s="3" t="s">
        <v>313</v>
      </c>
      <c r="M248" s="36">
        <f t="shared" ca="1" si="23"/>
        <v>44322</v>
      </c>
      <c r="N248" s="37" t="str">
        <f t="shared" ca="1" si="19"/>
        <v>NO</v>
      </c>
      <c r="O248" s="38">
        <f t="shared" ca="1" si="20"/>
        <v>86</v>
      </c>
      <c r="P248" s="39" t="str">
        <f t="shared" ca="1" si="21"/>
        <v>CALIBRADO</v>
      </c>
      <c r="Q248" t="s">
        <v>348</v>
      </c>
    </row>
    <row r="249" spans="1:18" x14ac:dyDescent="0.3">
      <c r="A249" t="s">
        <v>32</v>
      </c>
      <c r="B249" t="s">
        <v>54</v>
      </c>
      <c r="C249" t="s">
        <v>64</v>
      </c>
      <c r="D249" s="8" t="s">
        <v>125</v>
      </c>
      <c r="E249" s="10">
        <v>16159070</v>
      </c>
      <c r="F249" s="119">
        <f t="shared" si="22"/>
        <v>44043</v>
      </c>
      <c r="G249" s="4">
        <v>44408</v>
      </c>
      <c r="H249" s="2" t="s">
        <v>28</v>
      </c>
      <c r="I249" s="2" t="s">
        <v>19</v>
      </c>
      <c r="J249" t="s">
        <v>46</v>
      </c>
      <c r="K249" s="7">
        <v>44270</v>
      </c>
      <c r="L249" s="3" t="s">
        <v>313</v>
      </c>
      <c r="M249" s="36">
        <f t="shared" ca="1" si="23"/>
        <v>44322</v>
      </c>
      <c r="N249" s="37" t="str">
        <f t="shared" ca="1" si="19"/>
        <v>NO</v>
      </c>
      <c r="O249" s="38">
        <f t="shared" ca="1" si="20"/>
        <v>86</v>
      </c>
      <c r="P249" s="39" t="str">
        <f t="shared" ca="1" si="21"/>
        <v>CALIBRADO</v>
      </c>
      <c r="Q249" s="86" t="s">
        <v>379</v>
      </c>
      <c r="R249" t="s">
        <v>476</v>
      </c>
    </row>
    <row r="250" spans="1:18" x14ac:dyDescent="0.3">
      <c r="A250" t="s">
        <v>32</v>
      </c>
      <c r="B250" t="s">
        <v>54</v>
      </c>
      <c r="C250" t="s">
        <v>98</v>
      </c>
      <c r="D250" s="8" t="s">
        <v>41</v>
      </c>
      <c r="E250" s="10" t="s">
        <v>256</v>
      </c>
      <c r="F250" s="119">
        <f t="shared" si="22"/>
        <v>44063</v>
      </c>
      <c r="G250" s="4">
        <v>44428</v>
      </c>
      <c r="H250" s="2" t="s">
        <v>28</v>
      </c>
      <c r="I250" s="2" t="s">
        <v>19</v>
      </c>
      <c r="J250" t="s">
        <v>46</v>
      </c>
      <c r="K250" s="7">
        <v>44270</v>
      </c>
      <c r="L250" s="3" t="s">
        <v>313</v>
      </c>
      <c r="M250" s="36">
        <f t="shared" ca="1" si="23"/>
        <v>44322</v>
      </c>
      <c r="N250" s="37" t="str">
        <f t="shared" ca="1" si="19"/>
        <v>NO</v>
      </c>
      <c r="O250" s="38">
        <f t="shared" ca="1" si="20"/>
        <v>106</v>
      </c>
      <c r="P250" s="39" t="str">
        <f t="shared" ca="1" si="21"/>
        <v>CALIBRADO</v>
      </c>
      <c r="Q250" t="s">
        <v>348</v>
      </c>
    </row>
    <row r="251" spans="1:18" x14ac:dyDescent="0.3">
      <c r="A251" t="s">
        <v>32</v>
      </c>
      <c r="B251" t="s">
        <v>54</v>
      </c>
      <c r="C251" t="s">
        <v>82</v>
      </c>
      <c r="D251" s="8" t="s">
        <v>136</v>
      </c>
      <c r="E251" s="10" t="s">
        <v>257</v>
      </c>
      <c r="F251" s="119">
        <f t="shared" si="22"/>
        <v>44113</v>
      </c>
      <c r="G251" s="4">
        <v>44478</v>
      </c>
      <c r="H251" s="2" t="s">
        <v>28</v>
      </c>
      <c r="I251" s="2" t="s">
        <v>19</v>
      </c>
      <c r="J251" t="s">
        <v>46</v>
      </c>
      <c r="K251" s="7">
        <v>44270</v>
      </c>
      <c r="L251" s="3" t="s">
        <v>313</v>
      </c>
      <c r="M251" s="36">
        <f t="shared" ca="1" si="23"/>
        <v>44322</v>
      </c>
      <c r="N251" s="37" t="str">
        <f t="shared" ca="1" si="19"/>
        <v>NO</v>
      </c>
      <c r="O251" s="38">
        <f t="shared" ca="1" si="20"/>
        <v>156</v>
      </c>
      <c r="P251" s="39" t="str">
        <f t="shared" ca="1" si="21"/>
        <v>CALIBRADO</v>
      </c>
      <c r="Q251" s="86" t="s">
        <v>380</v>
      </c>
      <c r="R251" t="s">
        <v>476</v>
      </c>
    </row>
    <row r="252" spans="1:18" x14ac:dyDescent="0.3">
      <c r="A252" t="s">
        <v>47</v>
      </c>
      <c r="B252" t="s">
        <v>74</v>
      </c>
      <c r="C252" t="s">
        <v>188</v>
      </c>
      <c r="D252" s="8" t="s">
        <v>22</v>
      </c>
      <c r="E252" s="10">
        <v>6200834528</v>
      </c>
      <c r="F252" s="119">
        <f t="shared" si="22"/>
        <v>44032</v>
      </c>
      <c r="G252" s="4">
        <v>44397</v>
      </c>
      <c r="H252" s="2" t="s">
        <v>28</v>
      </c>
      <c r="I252" s="2" t="s">
        <v>19</v>
      </c>
      <c r="J252" t="s">
        <v>46</v>
      </c>
      <c r="K252" s="7">
        <v>44270</v>
      </c>
      <c r="L252" s="3" t="s">
        <v>313</v>
      </c>
      <c r="M252" s="36">
        <f t="shared" ca="1" si="23"/>
        <v>44322</v>
      </c>
      <c r="N252" s="37" t="str">
        <f t="shared" ca="1" si="19"/>
        <v>NO</v>
      </c>
      <c r="O252" s="38">
        <f t="shared" ca="1" si="20"/>
        <v>75</v>
      </c>
      <c r="P252" s="39" t="str">
        <f t="shared" ca="1" si="21"/>
        <v>CALIBRADO</v>
      </c>
      <c r="Q252" s="86" t="s">
        <v>448</v>
      </c>
      <c r="R252" t="s">
        <v>476</v>
      </c>
    </row>
    <row r="253" spans="1:18" x14ac:dyDescent="0.3">
      <c r="A253" t="s">
        <v>47</v>
      </c>
      <c r="B253" t="s">
        <v>74</v>
      </c>
      <c r="C253" t="s">
        <v>82</v>
      </c>
      <c r="D253" s="8" t="s">
        <v>83</v>
      </c>
      <c r="E253" s="10">
        <v>36716</v>
      </c>
      <c r="F253" s="119">
        <f t="shared" si="22"/>
        <v>44032</v>
      </c>
      <c r="G253" s="4">
        <v>44397</v>
      </c>
      <c r="H253" s="2" t="s">
        <v>28</v>
      </c>
      <c r="I253" s="2" t="s">
        <v>19</v>
      </c>
      <c r="J253" t="s">
        <v>46</v>
      </c>
      <c r="K253" s="7">
        <v>44270</v>
      </c>
      <c r="L253" s="3" t="s">
        <v>313</v>
      </c>
      <c r="M253" s="36">
        <f t="shared" ca="1" si="23"/>
        <v>44322</v>
      </c>
      <c r="N253" s="37" t="str">
        <f t="shared" ca="1" si="19"/>
        <v>NO</v>
      </c>
      <c r="O253" s="38">
        <f t="shared" ca="1" si="20"/>
        <v>75</v>
      </c>
      <c r="P253" s="39" t="str">
        <f t="shared" ca="1" si="21"/>
        <v>CALIBRADO</v>
      </c>
      <c r="Q253" s="86" t="s">
        <v>450</v>
      </c>
      <c r="R253" t="s">
        <v>476</v>
      </c>
    </row>
    <row r="254" spans="1:18" x14ac:dyDescent="0.3">
      <c r="A254" t="s">
        <v>47</v>
      </c>
      <c r="B254" t="s">
        <v>74</v>
      </c>
      <c r="C254" t="s">
        <v>98</v>
      </c>
      <c r="D254" s="8" t="s">
        <v>41</v>
      </c>
      <c r="E254" s="10" t="s">
        <v>258</v>
      </c>
      <c r="F254" s="119">
        <f t="shared" si="22"/>
        <v>44132</v>
      </c>
      <c r="G254" s="4">
        <v>44497</v>
      </c>
      <c r="H254" s="2" t="s">
        <v>28</v>
      </c>
      <c r="I254" s="2" t="s">
        <v>19</v>
      </c>
      <c r="J254" t="s">
        <v>46</v>
      </c>
      <c r="K254" s="7">
        <v>44270</v>
      </c>
      <c r="L254" s="3" t="s">
        <v>313</v>
      </c>
      <c r="M254" s="36">
        <f t="shared" ca="1" si="23"/>
        <v>44322</v>
      </c>
      <c r="N254" s="37" t="str">
        <f t="shared" ref="N254:N318" ca="1" si="24">IF(P254="DESCALIBRADO","SI",IF(P254="CALIBRADO","NO",IF(P254="POR CALIBRAR","NO "," ")))</f>
        <v>NO</v>
      </c>
      <c r="O254" s="38">
        <f t="shared" ref="O254:O318" ca="1" si="25">+G254-M254</f>
        <v>175</v>
      </c>
      <c r="P254" s="39" t="str">
        <f t="shared" ref="P254:P318" ca="1" si="26">IF(G254="","",IF(G254-M254&gt;15,"CALIBRADO",IF(AND(G254-M254&lt;=15,G254-M254&gt;=0),"POR CALIBRAR","DESCALIBRADO")))</f>
        <v>CALIBRADO</v>
      </c>
      <c r="Q254" s="86" t="s">
        <v>449</v>
      </c>
      <c r="R254" t="s">
        <v>476</v>
      </c>
    </row>
    <row r="255" spans="1:18" x14ac:dyDescent="0.3">
      <c r="A255" t="s">
        <v>50</v>
      </c>
      <c r="B255" t="s">
        <v>80</v>
      </c>
      <c r="C255" t="s">
        <v>82</v>
      </c>
      <c r="D255" s="8" t="s">
        <v>136</v>
      </c>
      <c r="E255" s="10" t="s">
        <v>252</v>
      </c>
      <c r="F255" s="119">
        <f t="shared" si="22"/>
        <v>44214</v>
      </c>
      <c r="G255" s="4">
        <v>44579</v>
      </c>
      <c r="H255" s="2" t="s">
        <v>28</v>
      </c>
      <c r="I255" s="2" t="s">
        <v>19</v>
      </c>
      <c r="J255" t="s">
        <v>46</v>
      </c>
      <c r="K255" s="7">
        <v>44270</v>
      </c>
      <c r="L255" s="3" t="s">
        <v>313</v>
      </c>
      <c r="M255" s="36">
        <f t="shared" ca="1" si="23"/>
        <v>44322</v>
      </c>
      <c r="N255" s="37" t="str">
        <f t="shared" ca="1" si="24"/>
        <v>NO</v>
      </c>
      <c r="O255" s="38">
        <f t="shared" ca="1" si="25"/>
        <v>257</v>
      </c>
      <c r="P255" s="39" t="str">
        <f t="shared" ca="1" si="26"/>
        <v>CALIBRADO</v>
      </c>
      <c r="Q255" s="88" t="s">
        <v>412</v>
      </c>
      <c r="R255" s="90" t="s">
        <v>419</v>
      </c>
    </row>
    <row r="256" spans="1:18" x14ac:dyDescent="0.3">
      <c r="A256" t="s">
        <v>50</v>
      </c>
      <c r="B256" t="s">
        <v>80</v>
      </c>
      <c r="C256" t="s">
        <v>82</v>
      </c>
      <c r="D256" s="8" t="s">
        <v>83</v>
      </c>
      <c r="E256" s="93" t="s">
        <v>410</v>
      </c>
      <c r="F256" s="120">
        <f t="shared" si="22"/>
        <v>44226</v>
      </c>
      <c r="G256" s="4">
        <v>44591</v>
      </c>
      <c r="H256" s="2" t="s">
        <v>28</v>
      </c>
      <c r="I256" s="2" t="s">
        <v>19</v>
      </c>
      <c r="J256" t="s">
        <v>46</v>
      </c>
      <c r="K256" s="7">
        <v>44270</v>
      </c>
      <c r="L256" s="3" t="s">
        <v>313</v>
      </c>
      <c r="M256" s="36">
        <f t="shared" ca="1" si="23"/>
        <v>44322</v>
      </c>
      <c r="N256" s="37" t="str">
        <f t="shared" ca="1" si="24"/>
        <v>NO</v>
      </c>
      <c r="O256" s="38">
        <f t="shared" ca="1" si="25"/>
        <v>269</v>
      </c>
      <c r="P256" s="39" t="str">
        <f t="shared" ca="1" si="26"/>
        <v>CALIBRADO</v>
      </c>
      <c r="Q256" s="86" t="s">
        <v>409</v>
      </c>
      <c r="R256" t="s">
        <v>476</v>
      </c>
    </row>
    <row r="257" spans="1:18" x14ac:dyDescent="0.3">
      <c r="A257" t="s">
        <v>50</v>
      </c>
      <c r="B257" t="s">
        <v>80</v>
      </c>
      <c r="C257" t="s">
        <v>98</v>
      </c>
      <c r="D257" s="8" t="s">
        <v>41</v>
      </c>
      <c r="E257" s="10">
        <v>10510012</v>
      </c>
      <c r="F257" s="119">
        <f t="shared" ref="F257:F318" si="27">G257-365</f>
        <v>44155</v>
      </c>
      <c r="G257" s="4">
        <v>44520</v>
      </c>
      <c r="H257" s="2" t="s">
        <v>28</v>
      </c>
      <c r="I257" s="2" t="s">
        <v>19</v>
      </c>
      <c r="J257" t="s">
        <v>46</v>
      </c>
      <c r="K257" s="7">
        <v>44270</v>
      </c>
      <c r="L257" s="3" t="s">
        <v>313</v>
      </c>
      <c r="M257" s="36">
        <f t="shared" ca="1" si="23"/>
        <v>44322</v>
      </c>
      <c r="N257" s="37" t="str">
        <f t="shared" ca="1" si="24"/>
        <v>NO</v>
      </c>
      <c r="O257" s="38">
        <f t="shared" ca="1" si="25"/>
        <v>198</v>
      </c>
      <c r="P257" s="39" t="str">
        <f t="shared" ca="1" si="26"/>
        <v>CALIBRADO</v>
      </c>
      <c r="Q257" t="s">
        <v>348</v>
      </c>
    </row>
    <row r="258" spans="1:18" x14ac:dyDescent="0.3">
      <c r="A258" t="s">
        <v>50</v>
      </c>
      <c r="B258" t="s">
        <v>80</v>
      </c>
      <c r="C258" t="s">
        <v>98</v>
      </c>
      <c r="D258" s="8" t="s">
        <v>41</v>
      </c>
      <c r="E258" s="10" t="s">
        <v>264</v>
      </c>
      <c r="F258" s="119">
        <f t="shared" si="27"/>
        <v>44252</v>
      </c>
      <c r="G258" s="4">
        <v>44617</v>
      </c>
      <c r="H258" s="2" t="s">
        <v>28</v>
      </c>
      <c r="I258" s="2" t="s">
        <v>19</v>
      </c>
      <c r="J258" t="s">
        <v>46</v>
      </c>
      <c r="K258" s="7">
        <v>44270</v>
      </c>
      <c r="L258" s="3" t="s">
        <v>313</v>
      </c>
      <c r="M258" s="36">
        <f t="shared" ca="1" si="23"/>
        <v>44322</v>
      </c>
      <c r="N258" s="37" t="str">
        <f t="shared" ca="1" si="24"/>
        <v>NO</v>
      </c>
      <c r="O258" s="38">
        <f t="shared" ca="1" si="25"/>
        <v>295</v>
      </c>
      <c r="P258" s="39" t="str">
        <f t="shared" ca="1" si="26"/>
        <v>CALIBRADO</v>
      </c>
      <c r="Q258" s="88" t="s">
        <v>408</v>
      </c>
      <c r="R258" s="90" t="s">
        <v>419</v>
      </c>
    </row>
    <row r="259" spans="1:18" x14ac:dyDescent="0.3">
      <c r="A259" t="s">
        <v>50</v>
      </c>
      <c r="B259" t="s">
        <v>80</v>
      </c>
      <c r="C259" t="s">
        <v>98</v>
      </c>
      <c r="D259" s="8" t="s">
        <v>41</v>
      </c>
      <c r="E259" s="10" t="s">
        <v>262</v>
      </c>
      <c r="F259" s="119">
        <f t="shared" si="27"/>
        <v>44259</v>
      </c>
      <c r="G259" s="4">
        <v>44624</v>
      </c>
      <c r="H259" s="2" t="s">
        <v>28</v>
      </c>
      <c r="I259" s="2" t="s">
        <v>19</v>
      </c>
      <c r="J259" t="s">
        <v>46</v>
      </c>
      <c r="K259" s="7">
        <v>44270</v>
      </c>
      <c r="L259" s="3" t="s">
        <v>313</v>
      </c>
      <c r="M259" s="36">
        <f t="shared" ca="1" si="23"/>
        <v>44322</v>
      </c>
      <c r="N259" s="37" t="str">
        <f t="shared" ca="1" si="24"/>
        <v>NO</v>
      </c>
      <c r="O259" s="38">
        <f t="shared" ca="1" si="25"/>
        <v>302</v>
      </c>
      <c r="P259" s="39" t="str">
        <f t="shared" ca="1" si="26"/>
        <v>CALIBRADO</v>
      </c>
      <c r="Q259" s="86" t="s">
        <v>406</v>
      </c>
      <c r="R259" t="s">
        <v>476</v>
      </c>
    </row>
    <row r="260" spans="1:18" x14ac:dyDescent="0.3">
      <c r="A260" t="s">
        <v>50</v>
      </c>
      <c r="B260" t="s">
        <v>80</v>
      </c>
      <c r="C260" t="s">
        <v>149</v>
      </c>
      <c r="D260" s="8" t="s">
        <v>100</v>
      </c>
      <c r="E260" s="10" t="s">
        <v>101</v>
      </c>
      <c r="F260" s="119">
        <f t="shared" si="27"/>
        <v>43930</v>
      </c>
      <c r="G260" s="4">
        <v>44295</v>
      </c>
      <c r="H260" s="2" t="s">
        <v>28</v>
      </c>
      <c r="I260" s="2" t="s">
        <v>19</v>
      </c>
      <c r="J260" t="s">
        <v>46</v>
      </c>
      <c r="K260" s="7">
        <v>44270</v>
      </c>
      <c r="L260" s="3" t="s">
        <v>313</v>
      </c>
      <c r="M260" s="36">
        <f t="shared" ca="1" si="23"/>
        <v>44322</v>
      </c>
      <c r="N260" s="37" t="str">
        <f t="shared" ca="1" si="24"/>
        <v>SI</v>
      </c>
      <c r="O260" s="38">
        <f t="shared" ca="1" si="25"/>
        <v>-27</v>
      </c>
      <c r="P260" s="39" t="str">
        <f t="shared" ca="1" si="26"/>
        <v>DESCALIBRADO</v>
      </c>
      <c r="Q260" s="86" t="s">
        <v>414</v>
      </c>
      <c r="R260" t="s">
        <v>476</v>
      </c>
    </row>
    <row r="261" spans="1:18" x14ac:dyDescent="0.3">
      <c r="A261" t="s">
        <v>50</v>
      </c>
      <c r="B261" t="s">
        <v>80</v>
      </c>
      <c r="C261" t="s">
        <v>64</v>
      </c>
      <c r="D261" s="8" t="s">
        <v>66</v>
      </c>
      <c r="E261" s="10">
        <v>100248</v>
      </c>
      <c r="F261" s="119">
        <f t="shared" si="27"/>
        <v>43962</v>
      </c>
      <c r="G261" s="4">
        <v>44327</v>
      </c>
      <c r="H261" s="2" t="s">
        <v>28</v>
      </c>
      <c r="I261" s="2" t="s">
        <v>19</v>
      </c>
      <c r="J261" t="s">
        <v>46</v>
      </c>
      <c r="K261" s="7">
        <v>44270</v>
      </c>
      <c r="L261" s="3" t="s">
        <v>313</v>
      </c>
      <c r="M261" s="36">
        <f t="shared" ca="1" si="23"/>
        <v>44322</v>
      </c>
      <c r="N261" s="37" t="str">
        <f t="shared" ca="1" si="24"/>
        <v xml:space="preserve">NO </v>
      </c>
      <c r="O261" s="38">
        <f t="shared" ca="1" si="25"/>
        <v>5</v>
      </c>
      <c r="P261" s="39" t="str">
        <f t="shared" ca="1" si="26"/>
        <v>POR CALIBRAR</v>
      </c>
      <c r="Q261" s="88" t="s">
        <v>417</v>
      </c>
      <c r="R261" s="90" t="s">
        <v>419</v>
      </c>
    </row>
    <row r="262" spans="1:18" x14ac:dyDescent="0.3">
      <c r="A262" t="s">
        <v>50</v>
      </c>
      <c r="B262" t="s">
        <v>80</v>
      </c>
      <c r="C262" t="s">
        <v>98</v>
      </c>
      <c r="D262" s="8" t="s">
        <v>41</v>
      </c>
      <c r="E262" s="10" t="s">
        <v>263</v>
      </c>
      <c r="F262" s="119">
        <f t="shared" si="27"/>
        <v>43986</v>
      </c>
      <c r="G262" s="4">
        <v>44351</v>
      </c>
      <c r="H262" s="2" t="s">
        <v>28</v>
      </c>
      <c r="I262" s="2" t="s">
        <v>19</v>
      </c>
      <c r="J262" t="s">
        <v>46</v>
      </c>
      <c r="K262" s="7">
        <v>44270</v>
      </c>
      <c r="L262" s="3" t="s">
        <v>313</v>
      </c>
      <c r="M262" s="36">
        <f t="shared" ca="1" si="23"/>
        <v>44322</v>
      </c>
      <c r="N262" s="37" t="str">
        <f t="shared" ca="1" si="24"/>
        <v>NO</v>
      </c>
      <c r="O262" s="38">
        <f t="shared" ca="1" si="25"/>
        <v>29</v>
      </c>
      <c r="P262" s="39" t="str">
        <f t="shared" ca="1" si="26"/>
        <v>CALIBRADO</v>
      </c>
      <c r="Q262" s="86" t="s">
        <v>407</v>
      </c>
      <c r="R262" t="s">
        <v>476</v>
      </c>
    </row>
    <row r="263" spans="1:18" x14ac:dyDescent="0.3">
      <c r="A263" t="s">
        <v>50</v>
      </c>
      <c r="B263" t="s">
        <v>80</v>
      </c>
      <c r="C263" t="s">
        <v>64</v>
      </c>
      <c r="D263" s="8" t="s">
        <v>22</v>
      </c>
      <c r="E263" s="10">
        <v>6200990102</v>
      </c>
      <c r="F263" s="119">
        <f t="shared" si="27"/>
        <v>44020</v>
      </c>
      <c r="G263" s="4">
        <v>44385</v>
      </c>
      <c r="H263" s="2" t="s">
        <v>28</v>
      </c>
      <c r="I263" s="2" t="s">
        <v>19</v>
      </c>
      <c r="J263" t="s">
        <v>46</v>
      </c>
      <c r="K263" s="7">
        <v>44270</v>
      </c>
      <c r="L263" s="3" t="s">
        <v>313</v>
      </c>
      <c r="M263" s="36">
        <f t="shared" ca="1" si="23"/>
        <v>44322</v>
      </c>
      <c r="N263" s="37" t="str">
        <f t="shared" ca="1" si="24"/>
        <v>NO</v>
      </c>
      <c r="O263" s="38">
        <f t="shared" ca="1" si="25"/>
        <v>63</v>
      </c>
      <c r="P263" s="39" t="str">
        <f t="shared" ca="1" si="26"/>
        <v>CALIBRADO</v>
      </c>
      <c r="Q263" s="86" t="s">
        <v>416</v>
      </c>
      <c r="R263" t="s">
        <v>476</v>
      </c>
    </row>
    <row r="264" spans="1:18" x14ac:dyDescent="0.3">
      <c r="A264" t="s">
        <v>50</v>
      </c>
      <c r="B264" t="s">
        <v>80</v>
      </c>
      <c r="C264" t="s">
        <v>188</v>
      </c>
      <c r="D264" s="8" t="s">
        <v>266</v>
      </c>
      <c r="E264" s="10">
        <v>2511546</v>
      </c>
      <c r="F264" s="119">
        <f t="shared" si="27"/>
        <v>44042</v>
      </c>
      <c r="G264" s="4">
        <v>44407</v>
      </c>
      <c r="H264" s="2" t="s">
        <v>28</v>
      </c>
      <c r="I264" s="2" t="s">
        <v>19</v>
      </c>
      <c r="J264" t="s">
        <v>46</v>
      </c>
      <c r="K264" s="7">
        <v>44270</v>
      </c>
      <c r="L264" s="3" t="s">
        <v>313</v>
      </c>
      <c r="M264" s="36">
        <f t="shared" ca="1" si="23"/>
        <v>44322</v>
      </c>
      <c r="N264" s="37" t="str">
        <f t="shared" ca="1" si="24"/>
        <v>NO</v>
      </c>
      <c r="O264" s="38">
        <f t="shared" ca="1" si="25"/>
        <v>85</v>
      </c>
      <c r="P264" s="39" t="str">
        <f t="shared" ca="1" si="26"/>
        <v>CALIBRADO</v>
      </c>
      <c r="Q264" s="86" t="s">
        <v>405</v>
      </c>
      <c r="R264" t="s">
        <v>476</v>
      </c>
    </row>
    <row r="265" spans="1:18" x14ac:dyDescent="0.3">
      <c r="A265" t="s">
        <v>50</v>
      </c>
      <c r="B265" t="s">
        <v>80</v>
      </c>
      <c r="C265" t="s">
        <v>82</v>
      </c>
      <c r="D265" s="8" t="s">
        <v>125</v>
      </c>
      <c r="E265" s="10" t="s">
        <v>261</v>
      </c>
      <c r="F265" s="119">
        <f t="shared" si="27"/>
        <v>44076</v>
      </c>
      <c r="G265" s="4">
        <v>44441</v>
      </c>
      <c r="H265" s="2" t="s">
        <v>28</v>
      </c>
      <c r="I265" s="2" t="s">
        <v>19</v>
      </c>
      <c r="J265" t="s">
        <v>46</v>
      </c>
      <c r="K265" s="7">
        <v>44270</v>
      </c>
      <c r="L265" s="3" t="s">
        <v>313</v>
      </c>
      <c r="M265" s="36">
        <f t="shared" ca="1" si="23"/>
        <v>44322</v>
      </c>
      <c r="N265" s="37" t="str">
        <f t="shared" ca="1" si="24"/>
        <v>NO</v>
      </c>
      <c r="O265" s="38">
        <f t="shared" ca="1" si="25"/>
        <v>119</v>
      </c>
      <c r="P265" s="39" t="str">
        <f t="shared" ca="1" si="26"/>
        <v>CALIBRADO</v>
      </c>
      <c r="Q265" s="86" t="s">
        <v>411</v>
      </c>
      <c r="R265" t="s">
        <v>476</v>
      </c>
    </row>
    <row r="266" spans="1:18" x14ac:dyDescent="0.3">
      <c r="A266" t="s">
        <v>50</v>
      </c>
      <c r="B266" t="s">
        <v>80</v>
      </c>
      <c r="C266" t="s">
        <v>64</v>
      </c>
      <c r="D266" s="8" t="s">
        <v>125</v>
      </c>
      <c r="E266" s="10">
        <v>16159032</v>
      </c>
      <c r="F266" s="119">
        <f t="shared" si="27"/>
        <v>44110</v>
      </c>
      <c r="G266" s="4">
        <v>44475</v>
      </c>
      <c r="H266" s="2" t="s">
        <v>28</v>
      </c>
      <c r="I266" s="2" t="s">
        <v>19</v>
      </c>
      <c r="J266" t="s">
        <v>46</v>
      </c>
      <c r="K266" s="7">
        <v>44270</v>
      </c>
      <c r="L266" s="3" t="s">
        <v>313</v>
      </c>
      <c r="M266" s="36">
        <f t="shared" ca="1" si="23"/>
        <v>44322</v>
      </c>
      <c r="N266" s="37" t="str">
        <f t="shared" ca="1" si="24"/>
        <v>NO</v>
      </c>
      <c r="O266" s="38">
        <f t="shared" ca="1" si="25"/>
        <v>153</v>
      </c>
      <c r="P266" s="39" t="str">
        <f t="shared" ca="1" si="26"/>
        <v>CALIBRADO</v>
      </c>
      <c r="Q266" s="86" t="s">
        <v>418</v>
      </c>
      <c r="R266" t="s">
        <v>476</v>
      </c>
    </row>
    <row r="267" spans="1:18" x14ac:dyDescent="0.3">
      <c r="A267" t="s">
        <v>50</v>
      </c>
      <c r="B267" t="s">
        <v>80</v>
      </c>
      <c r="C267" t="s">
        <v>82</v>
      </c>
      <c r="D267" s="8" t="s">
        <v>143</v>
      </c>
      <c r="E267" s="10" t="s">
        <v>259</v>
      </c>
      <c r="F267" s="119">
        <f t="shared" si="27"/>
        <v>44113</v>
      </c>
      <c r="G267" s="4">
        <v>44478</v>
      </c>
      <c r="H267" s="2" t="s">
        <v>28</v>
      </c>
      <c r="I267" s="2" t="s">
        <v>19</v>
      </c>
      <c r="J267" t="s">
        <v>46</v>
      </c>
      <c r="K267" s="7">
        <v>44270</v>
      </c>
      <c r="L267" s="3" t="s">
        <v>313</v>
      </c>
      <c r="M267" s="36">
        <f t="shared" ca="1" si="23"/>
        <v>44322</v>
      </c>
      <c r="N267" s="37" t="str">
        <f t="shared" ca="1" si="24"/>
        <v>NO</v>
      </c>
      <c r="O267" s="38">
        <f t="shared" ca="1" si="25"/>
        <v>156</v>
      </c>
      <c r="P267" s="39" t="str">
        <f t="shared" ca="1" si="26"/>
        <v>CALIBRADO</v>
      </c>
      <c r="Q267" s="86" t="s">
        <v>413</v>
      </c>
      <c r="R267" t="s">
        <v>476</v>
      </c>
    </row>
    <row r="268" spans="1:18" x14ac:dyDescent="0.3">
      <c r="A268" t="s">
        <v>50</v>
      </c>
      <c r="B268" t="s">
        <v>80</v>
      </c>
      <c r="C268" t="s">
        <v>64</v>
      </c>
      <c r="D268" s="8" t="s">
        <v>125</v>
      </c>
      <c r="E268" s="10">
        <v>14117157</v>
      </c>
      <c r="F268" s="119">
        <f t="shared" si="27"/>
        <v>44158</v>
      </c>
      <c r="G268" s="4">
        <v>44523</v>
      </c>
      <c r="H268" s="2" t="s">
        <v>28</v>
      </c>
      <c r="I268" s="2" t="s">
        <v>19</v>
      </c>
      <c r="J268" t="s">
        <v>46</v>
      </c>
      <c r="K268" s="7">
        <v>44270</v>
      </c>
      <c r="L268" s="3" t="s">
        <v>313</v>
      </c>
      <c r="M268" s="36">
        <f t="shared" ca="1" si="23"/>
        <v>44322</v>
      </c>
      <c r="N268" s="37" t="str">
        <f t="shared" ca="1" si="24"/>
        <v>NO</v>
      </c>
      <c r="O268" s="38">
        <f t="shared" ca="1" si="25"/>
        <v>201</v>
      </c>
      <c r="P268" s="39" t="str">
        <f t="shared" ca="1" si="26"/>
        <v>CALIBRADO</v>
      </c>
      <c r="Q268" s="86" t="s">
        <v>415</v>
      </c>
      <c r="R268" t="s">
        <v>476</v>
      </c>
    </row>
    <row r="269" spans="1:18" x14ac:dyDescent="0.3">
      <c r="A269" t="s">
        <v>47</v>
      </c>
      <c r="B269" t="s">
        <v>75</v>
      </c>
      <c r="C269" t="s">
        <v>82</v>
      </c>
      <c r="D269" s="8" t="s">
        <v>143</v>
      </c>
      <c r="E269" s="10" t="s">
        <v>269</v>
      </c>
      <c r="F269" s="119">
        <f t="shared" si="27"/>
        <v>44007</v>
      </c>
      <c r="G269" s="4">
        <v>44372</v>
      </c>
      <c r="H269" s="2" t="s">
        <v>28</v>
      </c>
      <c r="I269" s="2" t="s">
        <v>19</v>
      </c>
      <c r="J269" t="s">
        <v>46</v>
      </c>
      <c r="K269" s="7">
        <v>44270</v>
      </c>
      <c r="L269" s="3" t="s">
        <v>313</v>
      </c>
      <c r="M269" s="36">
        <f t="shared" ca="1" si="23"/>
        <v>44322</v>
      </c>
      <c r="N269" s="37" t="str">
        <f t="shared" ca="1" si="24"/>
        <v>NO</v>
      </c>
      <c r="O269" s="38">
        <f t="shared" ca="1" si="25"/>
        <v>50</v>
      </c>
      <c r="P269" s="39" t="str">
        <f t="shared" ca="1" si="26"/>
        <v>CALIBRADO</v>
      </c>
      <c r="Q269" s="86" t="s">
        <v>384</v>
      </c>
      <c r="R269" t="s">
        <v>476</v>
      </c>
    </row>
    <row r="270" spans="1:18" x14ac:dyDescent="0.3">
      <c r="A270" t="s">
        <v>47</v>
      </c>
      <c r="B270" t="s">
        <v>75</v>
      </c>
      <c r="C270" t="s">
        <v>64</v>
      </c>
      <c r="D270" s="8" t="s">
        <v>22</v>
      </c>
      <c r="E270" s="10">
        <v>6200667639</v>
      </c>
      <c r="F270" s="119">
        <f t="shared" si="27"/>
        <v>44110</v>
      </c>
      <c r="G270" s="4">
        <v>44475</v>
      </c>
      <c r="H270" s="2" t="s">
        <v>28</v>
      </c>
      <c r="I270" s="2" t="s">
        <v>19</v>
      </c>
      <c r="J270" t="s">
        <v>46</v>
      </c>
      <c r="K270" s="7">
        <v>44270</v>
      </c>
      <c r="L270" s="3" t="s">
        <v>313</v>
      </c>
      <c r="M270" s="36">
        <f t="shared" ca="1" si="23"/>
        <v>44322</v>
      </c>
      <c r="N270" s="37" t="str">
        <f t="shared" ca="1" si="24"/>
        <v>NO</v>
      </c>
      <c r="O270" s="38">
        <f t="shared" ca="1" si="25"/>
        <v>153</v>
      </c>
      <c r="P270" s="39" t="str">
        <f t="shared" ca="1" si="26"/>
        <v>CALIBRADO</v>
      </c>
      <c r="Q270" s="86" t="s">
        <v>382</v>
      </c>
      <c r="R270" t="s">
        <v>476</v>
      </c>
    </row>
    <row r="271" spans="1:18" x14ac:dyDescent="0.3">
      <c r="A271" t="s">
        <v>47</v>
      </c>
      <c r="B271" t="s">
        <v>75</v>
      </c>
      <c r="C271" t="s">
        <v>98</v>
      </c>
      <c r="D271" s="8" t="s">
        <v>41</v>
      </c>
      <c r="E271" s="10" t="s">
        <v>268</v>
      </c>
      <c r="F271" s="119">
        <f t="shared" si="27"/>
        <v>44143</v>
      </c>
      <c r="G271" s="4">
        <v>44508</v>
      </c>
      <c r="H271" s="2" t="s">
        <v>28</v>
      </c>
      <c r="I271" s="2" t="s">
        <v>19</v>
      </c>
      <c r="J271" t="s">
        <v>46</v>
      </c>
      <c r="K271" s="7">
        <v>44270</v>
      </c>
      <c r="L271" s="3" t="s">
        <v>313</v>
      </c>
      <c r="M271" s="36">
        <f t="shared" ca="1" si="23"/>
        <v>44322</v>
      </c>
      <c r="N271" s="37" t="str">
        <f t="shared" ca="1" si="24"/>
        <v>NO</v>
      </c>
      <c r="O271" s="38">
        <f t="shared" ca="1" si="25"/>
        <v>186</v>
      </c>
      <c r="P271" s="39" t="str">
        <f t="shared" ca="1" si="26"/>
        <v>CALIBRADO</v>
      </c>
      <c r="Q271" s="86" t="s">
        <v>383</v>
      </c>
      <c r="R271" t="s">
        <v>476</v>
      </c>
    </row>
    <row r="272" spans="1:18" x14ac:dyDescent="0.3">
      <c r="A272" t="s">
        <v>47</v>
      </c>
      <c r="B272" t="s">
        <v>75</v>
      </c>
      <c r="C272" t="s">
        <v>98</v>
      </c>
      <c r="D272" s="8" t="s">
        <v>41</v>
      </c>
      <c r="E272" s="10" t="s">
        <v>267</v>
      </c>
      <c r="F272" s="119">
        <f t="shared" si="27"/>
        <v>44165</v>
      </c>
      <c r="G272" s="4">
        <v>44530</v>
      </c>
      <c r="H272" s="2" t="s">
        <v>28</v>
      </c>
      <c r="I272" s="2" t="s">
        <v>19</v>
      </c>
      <c r="J272" t="s">
        <v>46</v>
      </c>
      <c r="K272" s="7">
        <v>44270</v>
      </c>
      <c r="L272" s="3" t="s">
        <v>313</v>
      </c>
      <c r="M272" s="36">
        <f t="shared" ca="1" si="23"/>
        <v>44322</v>
      </c>
      <c r="N272" s="37" t="str">
        <f t="shared" ca="1" si="24"/>
        <v>NO</v>
      </c>
      <c r="O272" s="38">
        <f t="shared" ca="1" si="25"/>
        <v>208</v>
      </c>
      <c r="P272" s="39" t="str">
        <f t="shared" ca="1" si="26"/>
        <v>CALIBRADO</v>
      </c>
      <c r="Q272" s="86" t="s">
        <v>381</v>
      </c>
      <c r="R272" t="s">
        <v>476</v>
      </c>
    </row>
    <row r="273" spans="1:18" x14ac:dyDescent="0.3">
      <c r="A273" t="s">
        <v>15</v>
      </c>
      <c r="B273" t="s">
        <v>69</v>
      </c>
      <c r="C273" t="s">
        <v>82</v>
      </c>
      <c r="D273" s="8" t="s">
        <v>51</v>
      </c>
      <c r="E273" s="10" t="s">
        <v>280</v>
      </c>
      <c r="F273" s="119">
        <f t="shared" si="27"/>
        <v>43962</v>
      </c>
      <c r="G273" s="4">
        <v>44327</v>
      </c>
      <c r="H273" s="2" t="s">
        <v>28</v>
      </c>
      <c r="I273" s="2" t="s">
        <v>19</v>
      </c>
      <c r="J273" t="s">
        <v>46</v>
      </c>
      <c r="K273" s="7">
        <v>44270</v>
      </c>
      <c r="L273" s="3" t="s">
        <v>313</v>
      </c>
      <c r="M273" s="36">
        <f t="shared" ca="1" si="23"/>
        <v>44322</v>
      </c>
      <c r="N273" s="37" t="str">
        <f t="shared" ca="1" si="24"/>
        <v xml:space="preserve">NO </v>
      </c>
      <c r="O273" s="38">
        <f t="shared" ca="1" si="25"/>
        <v>5</v>
      </c>
      <c r="P273" s="39" t="str">
        <f t="shared" ca="1" si="26"/>
        <v>POR CALIBRAR</v>
      </c>
      <c r="Q273" t="s">
        <v>348</v>
      </c>
    </row>
    <row r="274" spans="1:18" x14ac:dyDescent="0.3">
      <c r="A274" t="s">
        <v>15</v>
      </c>
      <c r="B274" t="s">
        <v>69</v>
      </c>
      <c r="C274" t="s">
        <v>98</v>
      </c>
      <c r="D274" s="8" t="s">
        <v>41</v>
      </c>
      <c r="E274" s="10" t="s">
        <v>273</v>
      </c>
      <c r="F274" s="119">
        <f t="shared" si="27"/>
        <v>43963</v>
      </c>
      <c r="G274" s="4">
        <v>44328</v>
      </c>
      <c r="H274" s="2" t="s">
        <v>28</v>
      </c>
      <c r="I274" s="2" t="s">
        <v>19</v>
      </c>
      <c r="J274" t="s">
        <v>46</v>
      </c>
      <c r="K274" s="7">
        <v>44270</v>
      </c>
      <c r="L274" s="3" t="s">
        <v>313</v>
      </c>
      <c r="M274" s="36">
        <f t="shared" ca="1" si="23"/>
        <v>44322</v>
      </c>
      <c r="N274" s="37" t="str">
        <f t="shared" ca="1" si="24"/>
        <v xml:space="preserve">NO </v>
      </c>
      <c r="O274" s="38">
        <f t="shared" ca="1" si="25"/>
        <v>6</v>
      </c>
      <c r="P274" s="39" t="str">
        <f t="shared" ca="1" si="26"/>
        <v>POR CALIBRAR</v>
      </c>
      <c r="Q274" t="s">
        <v>348</v>
      </c>
      <c r="R274" t="s">
        <v>497</v>
      </c>
    </row>
    <row r="275" spans="1:18" x14ac:dyDescent="0.3">
      <c r="A275" s="102" t="s">
        <v>15</v>
      </c>
      <c r="B275" s="102" t="s">
        <v>69</v>
      </c>
      <c r="C275" s="102" t="s">
        <v>98</v>
      </c>
      <c r="D275" s="108" t="s">
        <v>41</v>
      </c>
      <c r="E275" s="64" t="s">
        <v>274</v>
      </c>
      <c r="F275" s="121">
        <f t="shared" si="27"/>
        <v>43963</v>
      </c>
      <c r="G275" s="100">
        <v>44328</v>
      </c>
      <c r="H275" s="101" t="s">
        <v>28</v>
      </c>
      <c r="I275" s="101" t="s">
        <v>19</v>
      </c>
      <c r="J275" s="102" t="s">
        <v>46</v>
      </c>
      <c r="K275" s="103">
        <v>44270</v>
      </c>
      <c r="L275" s="98" t="s">
        <v>313</v>
      </c>
      <c r="M275" s="109">
        <f t="shared" ca="1" si="23"/>
        <v>44322</v>
      </c>
      <c r="N275" s="110" t="str">
        <f t="shared" ca="1" si="24"/>
        <v xml:space="preserve">NO </v>
      </c>
      <c r="O275" s="111">
        <f t="shared" ca="1" si="25"/>
        <v>6</v>
      </c>
      <c r="P275" s="112" t="str">
        <f t="shared" ca="1" si="26"/>
        <v>POR CALIBRAR</v>
      </c>
      <c r="Q275" s="92" t="s">
        <v>392</v>
      </c>
      <c r="R275" s="114" t="s">
        <v>476</v>
      </c>
    </row>
    <row r="276" spans="1:18" x14ac:dyDescent="0.3">
      <c r="A276" t="s">
        <v>15</v>
      </c>
      <c r="B276" t="s">
        <v>69</v>
      </c>
      <c r="C276" t="s">
        <v>149</v>
      </c>
      <c r="D276" s="8" t="s">
        <v>100</v>
      </c>
      <c r="E276" s="10" t="s">
        <v>141</v>
      </c>
      <c r="F276" s="119">
        <f t="shared" si="27"/>
        <v>43966</v>
      </c>
      <c r="G276" s="4">
        <v>44331</v>
      </c>
      <c r="H276" s="2" t="s">
        <v>28</v>
      </c>
      <c r="I276" s="2" t="s">
        <v>19</v>
      </c>
      <c r="J276" t="s">
        <v>46</v>
      </c>
      <c r="K276" s="7">
        <v>44270</v>
      </c>
      <c r="L276" s="3" t="s">
        <v>313</v>
      </c>
      <c r="M276" s="36">
        <f t="shared" ca="1" si="23"/>
        <v>44322</v>
      </c>
      <c r="N276" s="37" t="str">
        <f t="shared" ca="1" si="24"/>
        <v xml:space="preserve">NO </v>
      </c>
      <c r="O276" s="38">
        <f t="shared" ca="1" si="25"/>
        <v>9</v>
      </c>
      <c r="P276" s="39" t="str">
        <f t="shared" ca="1" si="26"/>
        <v>POR CALIBRAR</v>
      </c>
      <c r="Q276" t="s">
        <v>348</v>
      </c>
    </row>
    <row r="277" spans="1:18" x14ac:dyDescent="0.3">
      <c r="A277" t="s">
        <v>15</v>
      </c>
      <c r="B277" t="s">
        <v>69</v>
      </c>
      <c r="C277" t="s">
        <v>98</v>
      </c>
      <c r="D277" s="8" t="s">
        <v>41</v>
      </c>
      <c r="E277" s="10" t="s">
        <v>275</v>
      </c>
      <c r="F277" s="119">
        <f t="shared" si="27"/>
        <v>43966</v>
      </c>
      <c r="G277" s="4">
        <v>44331</v>
      </c>
      <c r="H277" s="2" t="s">
        <v>28</v>
      </c>
      <c r="I277" s="2" t="s">
        <v>19</v>
      </c>
      <c r="J277" t="s">
        <v>46</v>
      </c>
      <c r="K277" s="7">
        <v>44270</v>
      </c>
      <c r="L277" s="3" t="s">
        <v>313</v>
      </c>
      <c r="M277" s="36">
        <f t="shared" ca="1" si="23"/>
        <v>44322</v>
      </c>
      <c r="N277" s="37" t="str">
        <f t="shared" ca="1" si="24"/>
        <v xml:space="preserve">NO </v>
      </c>
      <c r="O277" s="38">
        <f t="shared" ca="1" si="25"/>
        <v>9</v>
      </c>
      <c r="P277" s="39" t="str">
        <f t="shared" ca="1" si="26"/>
        <v>POR CALIBRAR</v>
      </c>
      <c r="Q277" t="s">
        <v>348</v>
      </c>
    </row>
    <row r="278" spans="1:18" x14ac:dyDescent="0.3">
      <c r="A278" t="s">
        <v>15</v>
      </c>
      <c r="B278" t="s">
        <v>69</v>
      </c>
      <c r="C278" t="s">
        <v>82</v>
      </c>
      <c r="D278" s="8" t="s">
        <v>66</v>
      </c>
      <c r="E278" s="10">
        <v>100911</v>
      </c>
      <c r="F278" s="119">
        <f t="shared" si="27"/>
        <v>43983</v>
      </c>
      <c r="G278" s="4">
        <v>44348</v>
      </c>
      <c r="H278" s="2" t="s">
        <v>28</v>
      </c>
      <c r="I278" s="2" t="s">
        <v>19</v>
      </c>
      <c r="J278" t="s">
        <v>46</v>
      </c>
      <c r="K278" s="7">
        <v>44270</v>
      </c>
      <c r="L278" s="3" t="s">
        <v>313</v>
      </c>
      <c r="M278" s="36">
        <f t="shared" ca="1" si="23"/>
        <v>44322</v>
      </c>
      <c r="N278" s="37" t="str">
        <f t="shared" ca="1" si="24"/>
        <v>NO</v>
      </c>
      <c r="O278" s="38">
        <f t="shared" ca="1" si="25"/>
        <v>26</v>
      </c>
      <c r="P278" s="39" t="str">
        <f t="shared" ca="1" si="26"/>
        <v>CALIBRADO</v>
      </c>
      <c r="Q278" s="86" t="s">
        <v>388</v>
      </c>
      <c r="R278" t="s">
        <v>476</v>
      </c>
    </row>
    <row r="279" spans="1:18" x14ac:dyDescent="0.3">
      <c r="A279" t="s">
        <v>15</v>
      </c>
      <c r="B279" t="s">
        <v>69</v>
      </c>
      <c r="C279" t="s">
        <v>98</v>
      </c>
      <c r="D279" s="8" t="s">
        <v>41</v>
      </c>
      <c r="E279" s="10" t="s">
        <v>276</v>
      </c>
      <c r="F279" s="119">
        <f t="shared" si="27"/>
        <v>43986</v>
      </c>
      <c r="G279" s="4">
        <v>44351</v>
      </c>
      <c r="H279" s="2" t="s">
        <v>28</v>
      </c>
      <c r="I279" s="2" t="s">
        <v>19</v>
      </c>
      <c r="J279" t="s">
        <v>46</v>
      </c>
      <c r="K279" s="7">
        <v>44270</v>
      </c>
      <c r="L279" s="3" t="s">
        <v>313</v>
      </c>
      <c r="M279" s="36">
        <f t="shared" ca="1" si="23"/>
        <v>44322</v>
      </c>
      <c r="N279" s="37" t="str">
        <f t="shared" ca="1" si="24"/>
        <v>NO</v>
      </c>
      <c r="O279" s="38">
        <f t="shared" ca="1" si="25"/>
        <v>29</v>
      </c>
      <c r="P279" s="39" t="str">
        <f t="shared" ca="1" si="26"/>
        <v>CALIBRADO</v>
      </c>
      <c r="Q279" t="s">
        <v>348</v>
      </c>
    </row>
    <row r="280" spans="1:18" x14ac:dyDescent="0.3">
      <c r="A280" t="s">
        <v>15</v>
      </c>
      <c r="B280" t="s">
        <v>69</v>
      </c>
      <c r="C280" t="s">
        <v>98</v>
      </c>
      <c r="D280" s="8" t="s">
        <v>41</v>
      </c>
      <c r="E280" s="10">
        <v>440053</v>
      </c>
      <c r="F280" s="119">
        <f t="shared" si="27"/>
        <v>43986</v>
      </c>
      <c r="G280" s="4">
        <v>44351</v>
      </c>
      <c r="H280" s="2" t="s">
        <v>28</v>
      </c>
      <c r="I280" s="2" t="s">
        <v>19</v>
      </c>
      <c r="J280" t="s">
        <v>46</v>
      </c>
      <c r="K280" s="7">
        <v>44270</v>
      </c>
      <c r="L280" s="3" t="s">
        <v>313</v>
      </c>
      <c r="M280" s="36">
        <f t="shared" ca="1" si="23"/>
        <v>44322</v>
      </c>
      <c r="N280" s="37" t="str">
        <f t="shared" ca="1" si="24"/>
        <v>NO</v>
      </c>
      <c r="O280" s="38">
        <f t="shared" ca="1" si="25"/>
        <v>29</v>
      </c>
      <c r="P280" s="39" t="str">
        <f t="shared" ca="1" si="26"/>
        <v>CALIBRADO</v>
      </c>
      <c r="Q280" s="86" t="s">
        <v>391</v>
      </c>
      <c r="R280" t="s">
        <v>476</v>
      </c>
    </row>
    <row r="281" spans="1:18" x14ac:dyDescent="0.3">
      <c r="A281" t="s">
        <v>15</v>
      </c>
      <c r="B281" t="s">
        <v>69</v>
      </c>
      <c r="C281" t="s">
        <v>64</v>
      </c>
      <c r="D281" s="8" t="s">
        <v>277</v>
      </c>
      <c r="E281" s="10" t="s">
        <v>291</v>
      </c>
      <c r="F281" s="119">
        <f t="shared" si="27"/>
        <v>43993</v>
      </c>
      <c r="G281" s="4">
        <v>44358</v>
      </c>
      <c r="H281" s="2" t="s">
        <v>28</v>
      </c>
      <c r="I281" s="2" t="s">
        <v>19</v>
      </c>
      <c r="J281" t="s">
        <v>46</v>
      </c>
      <c r="K281" s="7">
        <v>44270</v>
      </c>
      <c r="L281" s="3" t="s">
        <v>313</v>
      </c>
      <c r="M281" s="36">
        <f t="shared" ca="1" si="23"/>
        <v>44322</v>
      </c>
      <c r="N281" s="37" t="str">
        <f t="shared" ca="1" si="24"/>
        <v>NO</v>
      </c>
      <c r="O281" s="38">
        <f t="shared" ca="1" si="25"/>
        <v>36</v>
      </c>
      <c r="P281" s="39" t="str">
        <f t="shared" ca="1" si="26"/>
        <v>CALIBRADO</v>
      </c>
      <c r="Q281" s="86" t="s">
        <v>390</v>
      </c>
      <c r="R281" t="s">
        <v>476</v>
      </c>
    </row>
    <row r="282" spans="1:18" x14ac:dyDescent="0.3">
      <c r="A282" t="s">
        <v>15</v>
      </c>
      <c r="B282" t="s">
        <v>69</v>
      </c>
      <c r="C282" t="s">
        <v>82</v>
      </c>
      <c r="D282" s="8" t="s">
        <v>51</v>
      </c>
      <c r="E282" s="10" t="s">
        <v>288</v>
      </c>
      <c r="F282" s="119">
        <f t="shared" si="27"/>
        <v>43998</v>
      </c>
      <c r="G282" s="4">
        <v>44363</v>
      </c>
      <c r="H282" s="2" t="s">
        <v>28</v>
      </c>
      <c r="I282" s="2" t="s">
        <v>19</v>
      </c>
      <c r="J282" t="s">
        <v>46</v>
      </c>
      <c r="K282" s="7">
        <v>44270</v>
      </c>
      <c r="L282" s="3" t="s">
        <v>313</v>
      </c>
      <c r="M282" s="36">
        <f t="shared" ca="1" si="23"/>
        <v>44322</v>
      </c>
      <c r="N282" s="37" t="str">
        <f t="shared" ca="1" si="24"/>
        <v>NO</v>
      </c>
      <c r="O282" s="38">
        <f t="shared" ca="1" si="25"/>
        <v>41</v>
      </c>
      <c r="P282" s="39" t="str">
        <f t="shared" ca="1" si="26"/>
        <v>CALIBRADO</v>
      </c>
      <c r="Q282" t="s">
        <v>348</v>
      </c>
    </row>
    <row r="283" spans="1:18" x14ac:dyDescent="0.3">
      <c r="A283" t="s">
        <v>15</v>
      </c>
      <c r="B283" t="s">
        <v>69</v>
      </c>
      <c r="C283" t="s">
        <v>98</v>
      </c>
      <c r="D283" s="8" t="s">
        <v>66</v>
      </c>
      <c r="E283" s="10">
        <v>887345</v>
      </c>
      <c r="F283" s="119">
        <f t="shared" si="27"/>
        <v>44001</v>
      </c>
      <c r="G283" s="4">
        <v>44366</v>
      </c>
      <c r="H283" s="2" t="s">
        <v>28</v>
      </c>
      <c r="I283" s="2" t="s">
        <v>19</v>
      </c>
      <c r="J283" t="s">
        <v>46</v>
      </c>
      <c r="K283" s="7">
        <v>44270</v>
      </c>
      <c r="L283" s="3" t="s">
        <v>313</v>
      </c>
      <c r="M283" s="36">
        <f t="shared" ca="1" si="23"/>
        <v>44322</v>
      </c>
      <c r="N283" s="37" t="str">
        <f t="shared" ca="1" si="24"/>
        <v>NO</v>
      </c>
      <c r="O283" s="38">
        <f t="shared" ca="1" si="25"/>
        <v>44</v>
      </c>
      <c r="P283" s="39" t="str">
        <f t="shared" ca="1" si="26"/>
        <v>CALIBRADO</v>
      </c>
      <c r="Q283" t="s">
        <v>348</v>
      </c>
    </row>
    <row r="284" spans="1:18" x14ac:dyDescent="0.3">
      <c r="A284" t="s">
        <v>15</v>
      </c>
      <c r="B284" t="s">
        <v>69</v>
      </c>
      <c r="C284" t="s">
        <v>98</v>
      </c>
      <c r="D284" s="8" t="s">
        <v>41</v>
      </c>
      <c r="E284" s="10" t="s">
        <v>270</v>
      </c>
      <c r="F284" s="119">
        <f t="shared" si="27"/>
        <v>44039</v>
      </c>
      <c r="G284" s="4">
        <v>44404</v>
      </c>
      <c r="H284" s="2" t="s">
        <v>28</v>
      </c>
      <c r="I284" s="2" t="s">
        <v>19</v>
      </c>
      <c r="J284" t="s">
        <v>46</v>
      </c>
      <c r="K284" s="7">
        <v>44270</v>
      </c>
      <c r="L284" s="3" t="s">
        <v>313</v>
      </c>
      <c r="M284" s="36">
        <f t="shared" ca="1" si="23"/>
        <v>44322</v>
      </c>
      <c r="N284" s="37" t="str">
        <f t="shared" ca="1" si="24"/>
        <v>NO</v>
      </c>
      <c r="O284" s="38">
        <f t="shared" ca="1" si="25"/>
        <v>82</v>
      </c>
      <c r="P284" s="39" t="str">
        <f t="shared" ca="1" si="26"/>
        <v>CALIBRADO</v>
      </c>
      <c r="Q284" s="86" t="s">
        <v>385</v>
      </c>
      <c r="R284" t="s">
        <v>476</v>
      </c>
    </row>
    <row r="285" spans="1:18" x14ac:dyDescent="0.3">
      <c r="A285" t="s">
        <v>15</v>
      </c>
      <c r="B285" t="s">
        <v>69</v>
      </c>
      <c r="C285" t="s">
        <v>64</v>
      </c>
      <c r="D285" s="8" t="s">
        <v>66</v>
      </c>
      <c r="E285" s="10">
        <v>100386</v>
      </c>
      <c r="F285" s="119">
        <f t="shared" si="27"/>
        <v>44055</v>
      </c>
      <c r="G285" s="4">
        <v>44420</v>
      </c>
      <c r="H285" s="2" t="s">
        <v>28</v>
      </c>
      <c r="I285" s="2" t="s">
        <v>19</v>
      </c>
      <c r="J285" t="s">
        <v>46</v>
      </c>
      <c r="K285" s="7">
        <v>44270</v>
      </c>
      <c r="L285" s="3" t="s">
        <v>313</v>
      </c>
      <c r="M285" s="36">
        <f t="shared" ca="1" si="23"/>
        <v>44322</v>
      </c>
      <c r="N285" s="37" t="str">
        <f t="shared" ca="1" si="24"/>
        <v>NO</v>
      </c>
      <c r="O285" s="38">
        <f t="shared" ca="1" si="25"/>
        <v>98</v>
      </c>
      <c r="P285" s="39" t="str">
        <f t="shared" ca="1" si="26"/>
        <v>CALIBRADO</v>
      </c>
      <c r="Q285" s="86" t="s">
        <v>387</v>
      </c>
      <c r="R285" t="s">
        <v>476</v>
      </c>
    </row>
    <row r="286" spans="1:18" x14ac:dyDescent="0.3">
      <c r="A286" t="s">
        <v>15</v>
      </c>
      <c r="B286" t="s">
        <v>69</v>
      </c>
      <c r="C286" t="s">
        <v>64</v>
      </c>
      <c r="D286" s="8" t="s">
        <v>277</v>
      </c>
      <c r="E286" s="10" t="s">
        <v>278</v>
      </c>
      <c r="F286" s="119">
        <f t="shared" si="27"/>
        <v>44070</v>
      </c>
      <c r="G286" s="4">
        <v>44435</v>
      </c>
      <c r="H286" s="2" t="s">
        <v>28</v>
      </c>
      <c r="I286" s="2" t="s">
        <v>19</v>
      </c>
      <c r="J286" t="s">
        <v>46</v>
      </c>
      <c r="K286" s="7">
        <v>44270</v>
      </c>
      <c r="L286" s="3" t="s">
        <v>313</v>
      </c>
      <c r="M286" s="36">
        <f t="shared" ca="1" si="23"/>
        <v>44322</v>
      </c>
      <c r="N286" s="37" t="str">
        <f t="shared" ca="1" si="24"/>
        <v>NO</v>
      </c>
      <c r="O286" s="38">
        <f t="shared" ca="1" si="25"/>
        <v>113</v>
      </c>
      <c r="P286" s="39" t="str">
        <f t="shared" ca="1" si="26"/>
        <v>CALIBRADO</v>
      </c>
      <c r="Q286" t="s">
        <v>348</v>
      </c>
    </row>
    <row r="287" spans="1:18" x14ac:dyDescent="0.3">
      <c r="A287" t="s">
        <v>15</v>
      </c>
      <c r="B287" t="s">
        <v>69</v>
      </c>
      <c r="C287" t="s">
        <v>64</v>
      </c>
      <c r="D287" s="8" t="s">
        <v>277</v>
      </c>
      <c r="E287" s="10" t="s">
        <v>279</v>
      </c>
      <c r="F287" s="119">
        <f t="shared" si="27"/>
        <v>44070</v>
      </c>
      <c r="G287" s="4">
        <v>44435</v>
      </c>
      <c r="H287" s="2" t="s">
        <v>28</v>
      </c>
      <c r="I287" s="2" t="s">
        <v>19</v>
      </c>
      <c r="J287" t="s">
        <v>46</v>
      </c>
      <c r="K287" s="7">
        <v>44270</v>
      </c>
      <c r="L287" s="3" t="s">
        <v>313</v>
      </c>
      <c r="M287" s="36">
        <f t="shared" ca="1" si="23"/>
        <v>44322</v>
      </c>
      <c r="N287" s="37" t="str">
        <f t="shared" ca="1" si="24"/>
        <v>NO</v>
      </c>
      <c r="O287" s="38">
        <f t="shared" ca="1" si="25"/>
        <v>113</v>
      </c>
      <c r="P287" s="39" t="str">
        <f t="shared" ca="1" si="26"/>
        <v>CALIBRADO</v>
      </c>
      <c r="Q287" t="s">
        <v>348</v>
      </c>
    </row>
    <row r="288" spans="1:18" x14ac:dyDescent="0.3">
      <c r="A288" t="s">
        <v>15</v>
      </c>
      <c r="B288" t="s">
        <v>69</v>
      </c>
      <c r="C288" t="s">
        <v>82</v>
      </c>
      <c r="D288" s="8" t="s">
        <v>51</v>
      </c>
      <c r="E288" s="10" t="s">
        <v>282</v>
      </c>
      <c r="F288" s="119">
        <f t="shared" si="27"/>
        <v>44071</v>
      </c>
      <c r="G288" s="4">
        <v>44436</v>
      </c>
      <c r="H288" s="2" t="s">
        <v>28</v>
      </c>
      <c r="I288" s="2" t="s">
        <v>19</v>
      </c>
      <c r="J288" t="s">
        <v>46</v>
      </c>
      <c r="K288" s="7">
        <v>44270</v>
      </c>
      <c r="L288" s="3" t="s">
        <v>313</v>
      </c>
      <c r="M288" s="36">
        <f t="shared" ca="1" si="23"/>
        <v>44322</v>
      </c>
      <c r="N288" s="37" t="str">
        <f t="shared" ca="1" si="24"/>
        <v>NO</v>
      </c>
      <c r="O288" s="38">
        <f t="shared" ca="1" si="25"/>
        <v>114</v>
      </c>
      <c r="P288" s="39" t="str">
        <f t="shared" ca="1" si="26"/>
        <v>CALIBRADO</v>
      </c>
      <c r="Q288" t="s">
        <v>348</v>
      </c>
    </row>
    <row r="289" spans="1:18" x14ac:dyDescent="0.3">
      <c r="A289" t="s">
        <v>15</v>
      </c>
      <c r="B289" t="s">
        <v>69</v>
      </c>
      <c r="C289" t="s">
        <v>82</v>
      </c>
      <c r="D289" s="8" t="s">
        <v>51</v>
      </c>
      <c r="E289" s="10" t="s">
        <v>283</v>
      </c>
      <c r="F289" s="119">
        <f t="shared" si="27"/>
        <v>44071</v>
      </c>
      <c r="G289" s="4">
        <v>44436</v>
      </c>
      <c r="H289" s="2" t="s">
        <v>28</v>
      </c>
      <c r="I289" s="2" t="s">
        <v>19</v>
      </c>
      <c r="J289" t="s">
        <v>46</v>
      </c>
      <c r="K289" s="7">
        <v>44270</v>
      </c>
      <c r="L289" s="3" t="s">
        <v>313</v>
      </c>
      <c r="M289" s="36">
        <f t="shared" ca="1" si="23"/>
        <v>44322</v>
      </c>
      <c r="N289" s="37" t="str">
        <f t="shared" ca="1" si="24"/>
        <v>NO</v>
      </c>
      <c r="O289" s="38">
        <f t="shared" ca="1" si="25"/>
        <v>114</v>
      </c>
      <c r="P289" s="39" t="str">
        <f t="shared" ca="1" si="26"/>
        <v>CALIBRADO</v>
      </c>
      <c r="Q289" t="s">
        <v>348</v>
      </c>
    </row>
    <row r="290" spans="1:18" x14ac:dyDescent="0.3">
      <c r="A290" t="s">
        <v>15</v>
      </c>
      <c r="B290" t="s">
        <v>69</v>
      </c>
      <c r="C290" t="s">
        <v>149</v>
      </c>
      <c r="D290" s="8" t="s">
        <v>100</v>
      </c>
      <c r="E290" s="10" t="s">
        <v>147</v>
      </c>
      <c r="F290" s="119">
        <f t="shared" si="27"/>
        <v>44160</v>
      </c>
      <c r="G290" s="4">
        <v>44525</v>
      </c>
      <c r="H290" s="2" t="s">
        <v>28</v>
      </c>
      <c r="I290" s="2" t="s">
        <v>19</v>
      </c>
      <c r="J290" t="s">
        <v>46</v>
      </c>
      <c r="K290" s="7">
        <v>44270</v>
      </c>
      <c r="L290" s="3" t="s">
        <v>313</v>
      </c>
      <c r="M290" s="36">
        <f t="shared" ca="1" si="23"/>
        <v>44322</v>
      </c>
      <c r="N290" s="37" t="str">
        <f t="shared" ca="1" si="24"/>
        <v>NO</v>
      </c>
      <c r="O290" s="38">
        <f t="shared" ca="1" si="25"/>
        <v>203</v>
      </c>
      <c r="P290" s="39" t="str">
        <f t="shared" ca="1" si="26"/>
        <v>CALIBRADO</v>
      </c>
      <c r="Q290" s="86" t="s">
        <v>393</v>
      </c>
      <c r="R290" t="s">
        <v>476</v>
      </c>
    </row>
    <row r="291" spans="1:18" x14ac:dyDescent="0.3">
      <c r="A291" t="s">
        <v>15</v>
      </c>
      <c r="B291" t="s">
        <v>69</v>
      </c>
      <c r="C291" t="s">
        <v>149</v>
      </c>
      <c r="D291" s="8" t="s">
        <v>286</v>
      </c>
      <c r="E291" s="10" t="s">
        <v>287</v>
      </c>
      <c r="F291" s="119">
        <f t="shared" si="27"/>
        <v>44160</v>
      </c>
      <c r="G291" s="4">
        <v>44525</v>
      </c>
      <c r="H291" s="2" t="s">
        <v>28</v>
      </c>
      <c r="I291" s="2" t="s">
        <v>19</v>
      </c>
      <c r="J291" t="s">
        <v>46</v>
      </c>
      <c r="K291" s="7">
        <v>44270</v>
      </c>
      <c r="L291" s="3" t="s">
        <v>313</v>
      </c>
      <c r="M291" s="36">
        <f t="shared" ca="1" si="23"/>
        <v>44322</v>
      </c>
      <c r="N291" s="37" t="str">
        <f t="shared" ca="1" si="24"/>
        <v>NO</v>
      </c>
      <c r="O291" s="38">
        <f t="shared" ca="1" si="25"/>
        <v>203</v>
      </c>
      <c r="P291" s="39" t="str">
        <f t="shared" ca="1" si="26"/>
        <v>CALIBRADO</v>
      </c>
      <c r="Q291" s="86" t="s">
        <v>389</v>
      </c>
      <c r="R291" t="s">
        <v>476</v>
      </c>
    </row>
    <row r="292" spans="1:18" x14ac:dyDescent="0.3">
      <c r="A292" t="s">
        <v>15</v>
      </c>
      <c r="B292" t="s">
        <v>69</v>
      </c>
      <c r="C292" t="s">
        <v>98</v>
      </c>
      <c r="D292" s="8" t="s">
        <v>41</v>
      </c>
      <c r="E292" s="10" t="s">
        <v>271</v>
      </c>
      <c r="F292" s="119">
        <f t="shared" si="27"/>
        <v>44165</v>
      </c>
      <c r="G292" s="4">
        <v>44530</v>
      </c>
      <c r="H292" s="2" t="s">
        <v>28</v>
      </c>
      <c r="I292" s="2" t="s">
        <v>19</v>
      </c>
      <c r="J292" t="s">
        <v>46</v>
      </c>
      <c r="K292" s="7">
        <v>44270</v>
      </c>
      <c r="L292" s="3" t="s">
        <v>313</v>
      </c>
      <c r="M292" s="36">
        <f t="shared" ca="1" si="23"/>
        <v>44322</v>
      </c>
      <c r="N292" s="37" t="str">
        <f t="shared" ca="1" si="24"/>
        <v>NO</v>
      </c>
      <c r="O292" s="38">
        <f t="shared" ca="1" si="25"/>
        <v>208</v>
      </c>
      <c r="P292" s="39" t="str">
        <f t="shared" ca="1" si="26"/>
        <v>CALIBRADO</v>
      </c>
      <c r="Q292" s="86" t="s">
        <v>386</v>
      </c>
      <c r="R292" t="s">
        <v>476</v>
      </c>
    </row>
    <row r="293" spans="1:18" x14ac:dyDescent="0.3">
      <c r="A293" t="s">
        <v>15</v>
      </c>
      <c r="B293" t="s">
        <v>69</v>
      </c>
      <c r="C293" t="s">
        <v>98</v>
      </c>
      <c r="D293" s="8" t="s">
        <v>41</v>
      </c>
      <c r="E293" s="10" t="s">
        <v>272</v>
      </c>
      <c r="F293" s="119">
        <f t="shared" si="27"/>
        <v>44165</v>
      </c>
      <c r="G293" s="4">
        <v>44530</v>
      </c>
      <c r="H293" s="2" t="s">
        <v>28</v>
      </c>
      <c r="I293" s="2" t="s">
        <v>19</v>
      </c>
      <c r="J293" t="s">
        <v>46</v>
      </c>
      <c r="K293" s="7">
        <v>44270</v>
      </c>
      <c r="L293" s="3" t="s">
        <v>313</v>
      </c>
      <c r="M293" s="36">
        <f t="shared" ca="1" si="23"/>
        <v>44322</v>
      </c>
      <c r="N293" s="37" t="str">
        <f t="shared" ca="1" si="24"/>
        <v>NO</v>
      </c>
      <c r="O293" s="38">
        <f t="shared" ca="1" si="25"/>
        <v>208</v>
      </c>
      <c r="P293" s="39" t="str">
        <f t="shared" ca="1" si="26"/>
        <v>CALIBRADO</v>
      </c>
      <c r="Q293" t="s">
        <v>348</v>
      </c>
    </row>
    <row r="294" spans="1:18" x14ac:dyDescent="0.3">
      <c r="A294" t="s">
        <v>15</v>
      </c>
      <c r="B294" t="s">
        <v>69</v>
      </c>
      <c r="C294" t="s">
        <v>82</v>
      </c>
      <c r="D294" s="8" t="s">
        <v>51</v>
      </c>
      <c r="E294" s="10" t="s">
        <v>285</v>
      </c>
      <c r="F294" s="119">
        <f t="shared" si="27"/>
        <v>44172</v>
      </c>
      <c r="G294" s="4">
        <v>44537</v>
      </c>
      <c r="H294" s="2" t="s">
        <v>28</v>
      </c>
      <c r="I294" s="2" t="s">
        <v>19</v>
      </c>
      <c r="J294" t="s">
        <v>46</v>
      </c>
      <c r="K294" s="7">
        <v>44270</v>
      </c>
      <c r="L294" s="3" t="s">
        <v>313</v>
      </c>
      <c r="M294" s="36">
        <f t="shared" ca="1" si="23"/>
        <v>44322</v>
      </c>
      <c r="N294" s="37" t="str">
        <f t="shared" ca="1" si="24"/>
        <v>NO</v>
      </c>
      <c r="O294" s="38">
        <f t="shared" ca="1" si="25"/>
        <v>215</v>
      </c>
      <c r="P294" s="39" t="str">
        <f t="shared" ca="1" si="26"/>
        <v>CALIBRADO</v>
      </c>
      <c r="Q294" t="s">
        <v>348</v>
      </c>
    </row>
    <row r="295" spans="1:18" x14ac:dyDescent="0.3">
      <c r="A295" t="s">
        <v>15</v>
      </c>
      <c r="B295" t="s">
        <v>69</v>
      </c>
      <c r="C295" t="s">
        <v>82</v>
      </c>
      <c r="D295" s="8" t="s">
        <v>51</v>
      </c>
      <c r="E295" s="10" t="s">
        <v>284</v>
      </c>
      <c r="F295" s="119">
        <f t="shared" si="27"/>
        <v>44174</v>
      </c>
      <c r="G295" s="4">
        <v>44539</v>
      </c>
      <c r="H295" s="2" t="s">
        <v>28</v>
      </c>
      <c r="I295" s="2" t="s">
        <v>19</v>
      </c>
      <c r="J295" t="s">
        <v>46</v>
      </c>
      <c r="K295" s="7">
        <v>44270</v>
      </c>
      <c r="L295" s="3" t="s">
        <v>313</v>
      </c>
      <c r="M295" s="36">
        <f t="shared" ca="1" si="23"/>
        <v>44322</v>
      </c>
      <c r="N295" s="37" t="str">
        <f t="shared" ca="1" si="24"/>
        <v>NO</v>
      </c>
      <c r="O295" s="38">
        <f t="shared" ca="1" si="25"/>
        <v>217</v>
      </c>
      <c r="P295" s="39" t="str">
        <f t="shared" ca="1" si="26"/>
        <v>CALIBRADO</v>
      </c>
      <c r="Q295" t="s">
        <v>348</v>
      </c>
    </row>
    <row r="296" spans="1:18" x14ac:dyDescent="0.3">
      <c r="A296" t="s">
        <v>15</v>
      </c>
      <c r="B296" t="s">
        <v>69</v>
      </c>
      <c r="C296" t="s">
        <v>64</v>
      </c>
      <c r="D296" s="8" t="s">
        <v>289</v>
      </c>
      <c r="E296" s="10" t="s">
        <v>290</v>
      </c>
      <c r="F296" s="119">
        <f t="shared" si="27"/>
        <v>44174</v>
      </c>
      <c r="G296" s="4">
        <v>44539</v>
      </c>
      <c r="H296" s="2" t="s">
        <v>28</v>
      </c>
      <c r="I296" s="2" t="s">
        <v>19</v>
      </c>
      <c r="J296" t="s">
        <v>46</v>
      </c>
      <c r="K296" s="7">
        <v>44270</v>
      </c>
      <c r="L296" s="3" t="s">
        <v>313</v>
      </c>
      <c r="M296" s="36">
        <f t="shared" ref="M296:M318" ca="1" si="28">TODAY()</f>
        <v>44322</v>
      </c>
      <c r="N296" s="37" t="str">
        <f t="shared" ca="1" si="24"/>
        <v>NO</v>
      </c>
      <c r="O296" s="38">
        <f t="shared" ca="1" si="25"/>
        <v>217</v>
      </c>
      <c r="P296" s="39" t="str">
        <f t="shared" ca="1" si="26"/>
        <v>CALIBRADO</v>
      </c>
      <c r="Q296" t="s">
        <v>348</v>
      </c>
    </row>
    <row r="297" spans="1:18" x14ac:dyDescent="0.3">
      <c r="A297" t="s">
        <v>15</v>
      </c>
      <c r="B297" t="s">
        <v>69</v>
      </c>
      <c r="C297" t="s">
        <v>82</v>
      </c>
      <c r="D297" s="8" t="s">
        <v>51</v>
      </c>
      <c r="E297" s="10" t="s">
        <v>281</v>
      </c>
      <c r="F297" s="119">
        <f t="shared" si="27"/>
        <v>43920</v>
      </c>
      <c r="G297" s="4">
        <v>44285</v>
      </c>
      <c r="H297" s="2" t="s">
        <v>28</v>
      </c>
      <c r="I297" s="2" t="s">
        <v>19</v>
      </c>
      <c r="J297" t="s">
        <v>46</v>
      </c>
      <c r="K297" s="7">
        <v>44270</v>
      </c>
      <c r="L297" s="3" t="s">
        <v>313</v>
      </c>
      <c r="M297" s="36">
        <f t="shared" ca="1" si="28"/>
        <v>44322</v>
      </c>
      <c r="N297" s="37" t="str">
        <f t="shared" ca="1" si="24"/>
        <v>SI</v>
      </c>
      <c r="O297" s="38">
        <f t="shared" ca="1" si="25"/>
        <v>-37</v>
      </c>
      <c r="P297" s="39" t="str">
        <f t="shared" ca="1" si="26"/>
        <v>DESCALIBRADO</v>
      </c>
      <c r="Q297" t="s">
        <v>348</v>
      </c>
    </row>
    <row r="298" spans="1:18" x14ac:dyDescent="0.3">
      <c r="A298" t="s">
        <v>20</v>
      </c>
      <c r="B298" t="s">
        <v>21</v>
      </c>
      <c r="C298" t="s">
        <v>64</v>
      </c>
      <c r="D298" s="8" t="s">
        <v>22</v>
      </c>
      <c r="E298" s="89">
        <v>6201394942</v>
      </c>
      <c r="F298" s="125">
        <f t="shared" si="27"/>
        <v>43913</v>
      </c>
      <c r="G298" s="4">
        <v>44278</v>
      </c>
      <c r="H298" s="2" t="s">
        <v>28</v>
      </c>
      <c r="I298" s="2" t="s">
        <v>19</v>
      </c>
      <c r="J298" t="s">
        <v>46</v>
      </c>
      <c r="K298" s="7">
        <v>44270</v>
      </c>
      <c r="L298" s="3" t="s">
        <v>313</v>
      </c>
      <c r="M298" s="36">
        <f t="shared" ca="1" si="28"/>
        <v>44322</v>
      </c>
      <c r="N298" s="37" t="str">
        <f t="shared" ca="1" si="24"/>
        <v>SI</v>
      </c>
      <c r="O298" s="38">
        <f t="shared" ca="1" si="25"/>
        <v>-44</v>
      </c>
      <c r="P298" s="39" t="str">
        <f t="shared" ca="1" si="26"/>
        <v>DESCALIBRADO</v>
      </c>
      <c r="Q298" s="86" t="s">
        <v>353</v>
      </c>
      <c r="R298" t="s">
        <v>355</v>
      </c>
    </row>
    <row r="299" spans="1:18" x14ac:dyDescent="0.3">
      <c r="A299" t="s">
        <v>20</v>
      </c>
      <c r="B299" t="s">
        <v>21</v>
      </c>
      <c r="C299" t="s">
        <v>64</v>
      </c>
      <c r="D299" s="8" t="s">
        <v>22</v>
      </c>
      <c r="E299" s="89" t="s">
        <v>301</v>
      </c>
      <c r="F299" s="125">
        <f t="shared" si="27"/>
        <v>43956</v>
      </c>
      <c r="G299" s="4">
        <v>44321</v>
      </c>
      <c r="H299" s="2" t="s">
        <v>28</v>
      </c>
      <c r="I299" s="2" t="s">
        <v>19</v>
      </c>
      <c r="J299" t="s">
        <v>46</v>
      </c>
      <c r="K299" s="7">
        <v>44270</v>
      </c>
      <c r="L299" s="3" t="s">
        <v>313</v>
      </c>
      <c r="M299" s="36">
        <f t="shared" ca="1" si="28"/>
        <v>44322</v>
      </c>
      <c r="N299" s="37" t="str">
        <f t="shared" ca="1" si="24"/>
        <v>SI</v>
      </c>
      <c r="O299" s="38">
        <f t="shared" ca="1" si="25"/>
        <v>-1</v>
      </c>
      <c r="P299" s="39" t="str">
        <f t="shared" ca="1" si="26"/>
        <v>DESCALIBRADO</v>
      </c>
      <c r="Q299" s="86" t="s">
        <v>353</v>
      </c>
      <c r="R299" t="s">
        <v>355</v>
      </c>
    </row>
    <row r="300" spans="1:18" x14ac:dyDescent="0.3">
      <c r="A300" t="s">
        <v>20</v>
      </c>
      <c r="B300" t="s">
        <v>21</v>
      </c>
      <c r="C300" t="s">
        <v>98</v>
      </c>
      <c r="D300" s="8" t="s">
        <v>66</v>
      </c>
      <c r="E300" s="89">
        <v>815169</v>
      </c>
      <c r="F300" s="125">
        <f t="shared" si="27"/>
        <v>43957</v>
      </c>
      <c r="G300" s="4">
        <v>44322</v>
      </c>
      <c r="H300" s="2" t="s">
        <v>28</v>
      </c>
      <c r="I300" s="2" t="s">
        <v>19</v>
      </c>
      <c r="J300" t="s">
        <v>46</v>
      </c>
      <c r="K300" s="7">
        <v>44270</v>
      </c>
      <c r="L300" s="3" t="s">
        <v>313</v>
      </c>
      <c r="M300" s="36">
        <f t="shared" ca="1" si="28"/>
        <v>44322</v>
      </c>
      <c r="N300" s="37" t="str">
        <f t="shared" ca="1" si="24"/>
        <v xml:space="preserve">NO </v>
      </c>
      <c r="O300" s="38">
        <f t="shared" ca="1" si="25"/>
        <v>0</v>
      </c>
      <c r="P300" s="39" t="str">
        <f t="shared" ca="1" si="26"/>
        <v>POR CALIBRAR</v>
      </c>
      <c r="Q300" s="86" t="s">
        <v>353</v>
      </c>
      <c r="R300" t="s">
        <v>355</v>
      </c>
    </row>
    <row r="301" spans="1:18" x14ac:dyDescent="0.3">
      <c r="A301" t="s">
        <v>20</v>
      </c>
      <c r="B301" t="s">
        <v>21</v>
      </c>
      <c r="C301" t="s">
        <v>98</v>
      </c>
      <c r="D301" s="8" t="s">
        <v>66</v>
      </c>
      <c r="E301" s="89">
        <v>855166</v>
      </c>
      <c r="F301" s="125">
        <f t="shared" si="27"/>
        <v>43957</v>
      </c>
      <c r="G301" s="4">
        <v>44322</v>
      </c>
      <c r="H301" s="2" t="s">
        <v>28</v>
      </c>
      <c r="I301" s="2" t="s">
        <v>19</v>
      </c>
      <c r="J301" t="s">
        <v>46</v>
      </c>
      <c r="K301" s="7">
        <v>44270</v>
      </c>
      <c r="L301" s="3" t="s">
        <v>313</v>
      </c>
      <c r="M301" s="36">
        <f t="shared" ca="1" si="28"/>
        <v>44322</v>
      </c>
      <c r="N301" s="37" t="str">
        <f t="shared" ca="1" si="24"/>
        <v xml:space="preserve">NO </v>
      </c>
      <c r="O301" s="38">
        <f t="shared" ca="1" si="25"/>
        <v>0</v>
      </c>
      <c r="P301" s="39" t="str">
        <f t="shared" ca="1" si="26"/>
        <v>POR CALIBRAR</v>
      </c>
      <c r="Q301" s="86" t="s">
        <v>353</v>
      </c>
      <c r="R301" t="s">
        <v>355</v>
      </c>
    </row>
    <row r="302" spans="1:18" x14ac:dyDescent="0.3">
      <c r="A302" t="s">
        <v>20</v>
      </c>
      <c r="B302" t="s">
        <v>21</v>
      </c>
      <c r="C302" t="s">
        <v>98</v>
      </c>
      <c r="D302" s="8" t="s">
        <v>41</v>
      </c>
      <c r="E302" s="89">
        <v>7240013</v>
      </c>
      <c r="F302" s="125">
        <f t="shared" si="27"/>
        <v>43958</v>
      </c>
      <c r="G302" s="4">
        <v>44323</v>
      </c>
      <c r="H302" s="2" t="s">
        <v>28</v>
      </c>
      <c r="I302" s="2" t="s">
        <v>19</v>
      </c>
      <c r="J302" t="s">
        <v>46</v>
      </c>
      <c r="K302" s="7">
        <v>44270</v>
      </c>
      <c r="L302" s="3" t="s">
        <v>313</v>
      </c>
      <c r="M302" s="36">
        <f t="shared" ca="1" si="28"/>
        <v>44322</v>
      </c>
      <c r="N302" s="37" t="str">
        <f t="shared" ca="1" si="24"/>
        <v xml:space="preserve">NO </v>
      </c>
      <c r="O302" s="38">
        <f t="shared" ca="1" si="25"/>
        <v>1</v>
      </c>
      <c r="P302" s="39" t="str">
        <f t="shared" ca="1" si="26"/>
        <v>POR CALIBRAR</v>
      </c>
      <c r="Q302" s="88" t="s">
        <v>352</v>
      </c>
      <c r="R302" s="90" t="s">
        <v>358</v>
      </c>
    </row>
    <row r="303" spans="1:18" x14ac:dyDescent="0.3">
      <c r="A303" t="s">
        <v>20</v>
      </c>
      <c r="B303" t="s">
        <v>21</v>
      </c>
      <c r="C303" t="s">
        <v>98</v>
      </c>
      <c r="D303" s="8" t="s">
        <v>41</v>
      </c>
      <c r="E303" s="10" t="s">
        <v>294</v>
      </c>
      <c r="F303" s="119">
        <f t="shared" si="27"/>
        <v>43958</v>
      </c>
      <c r="G303" s="4">
        <v>44323</v>
      </c>
      <c r="H303" s="2" t="s">
        <v>28</v>
      </c>
      <c r="I303" s="2" t="s">
        <v>19</v>
      </c>
      <c r="J303" t="s">
        <v>46</v>
      </c>
      <c r="K303" s="7">
        <v>44270</v>
      </c>
      <c r="L303" s="3" t="s">
        <v>313</v>
      </c>
      <c r="M303" s="36">
        <f t="shared" ca="1" si="28"/>
        <v>44322</v>
      </c>
      <c r="N303" s="37" t="str">
        <f t="shared" ca="1" si="24"/>
        <v xml:space="preserve">NO </v>
      </c>
      <c r="O303" s="38">
        <f t="shared" ca="1" si="25"/>
        <v>1</v>
      </c>
      <c r="P303" s="39" t="str">
        <f t="shared" ca="1" si="26"/>
        <v>POR CALIBRAR</v>
      </c>
      <c r="Q303" t="s">
        <v>348</v>
      </c>
    </row>
    <row r="304" spans="1:18" x14ac:dyDescent="0.3">
      <c r="A304" t="s">
        <v>20</v>
      </c>
      <c r="B304" t="s">
        <v>21</v>
      </c>
      <c r="C304" t="s">
        <v>64</v>
      </c>
      <c r="D304" s="8" t="s">
        <v>22</v>
      </c>
      <c r="E304" s="89" t="s">
        <v>302</v>
      </c>
      <c r="F304" s="125">
        <f t="shared" si="27"/>
        <v>43971</v>
      </c>
      <c r="G304" s="4">
        <v>44336</v>
      </c>
      <c r="H304" s="2" t="s">
        <v>28</v>
      </c>
      <c r="I304" s="2" t="s">
        <v>19</v>
      </c>
      <c r="J304" t="s">
        <v>46</v>
      </c>
      <c r="K304" s="7">
        <v>44270</v>
      </c>
      <c r="L304" s="3" t="s">
        <v>313</v>
      </c>
      <c r="M304" s="36">
        <f t="shared" ca="1" si="28"/>
        <v>44322</v>
      </c>
      <c r="N304" s="37" t="str">
        <f t="shared" ca="1" si="24"/>
        <v xml:space="preserve">NO </v>
      </c>
      <c r="O304" s="38">
        <f t="shared" ca="1" si="25"/>
        <v>14</v>
      </c>
      <c r="P304" s="39" t="str">
        <f t="shared" ca="1" si="26"/>
        <v>POR CALIBRAR</v>
      </c>
      <c r="Q304" s="86" t="s">
        <v>353</v>
      </c>
      <c r="R304" t="s">
        <v>355</v>
      </c>
    </row>
    <row r="305" spans="1:18" x14ac:dyDescent="0.3">
      <c r="A305" t="s">
        <v>52</v>
      </c>
      <c r="B305" t="s">
        <v>21</v>
      </c>
      <c r="C305" t="s">
        <v>82</v>
      </c>
      <c r="D305" s="8" t="s">
        <v>66</v>
      </c>
      <c r="E305" s="89" t="s">
        <v>303</v>
      </c>
      <c r="F305" s="125">
        <f t="shared" si="27"/>
        <v>43976</v>
      </c>
      <c r="G305" s="4">
        <v>44341</v>
      </c>
      <c r="H305" s="2" t="s">
        <v>28</v>
      </c>
      <c r="I305" s="2" t="s">
        <v>19</v>
      </c>
      <c r="J305" t="s">
        <v>46</v>
      </c>
      <c r="K305" s="7">
        <v>44270</v>
      </c>
      <c r="L305" s="3" t="s">
        <v>313</v>
      </c>
      <c r="M305" s="36">
        <f t="shared" ca="1" si="28"/>
        <v>44322</v>
      </c>
      <c r="N305" s="37" t="str">
        <f t="shared" ca="1" si="24"/>
        <v>NO</v>
      </c>
      <c r="O305" s="38">
        <f t="shared" ca="1" si="25"/>
        <v>19</v>
      </c>
      <c r="P305" s="39" t="str">
        <f t="shared" ca="1" si="26"/>
        <v>CALIBRADO</v>
      </c>
      <c r="Q305" s="86" t="s">
        <v>356</v>
      </c>
      <c r="R305" t="s">
        <v>357</v>
      </c>
    </row>
    <row r="306" spans="1:18" x14ac:dyDescent="0.3">
      <c r="A306" t="s">
        <v>20</v>
      </c>
      <c r="B306" t="s">
        <v>21</v>
      </c>
      <c r="C306" t="s">
        <v>82</v>
      </c>
      <c r="D306" s="8" t="s">
        <v>251</v>
      </c>
      <c r="E306" s="89">
        <v>11626057493</v>
      </c>
      <c r="F306" s="125">
        <f t="shared" si="27"/>
        <v>43984</v>
      </c>
      <c r="G306" s="4">
        <v>44349</v>
      </c>
      <c r="H306" s="2" t="s">
        <v>28</v>
      </c>
      <c r="I306" s="2" t="s">
        <v>19</v>
      </c>
      <c r="J306" t="s">
        <v>46</v>
      </c>
      <c r="K306" s="7">
        <v>44270</v>
      </c>
      <c r="L306" s="3" t="s">
        <v>313</v>
      </c>
      <c r="M306" s="36">
        <f t="shared" ca="1" si="28"/>
        <v>44322</v>
      </c>
      <c r="N306" s="37" t="str">
        <f t="shared" ca="1" si="24"/>
        <v>NO</v>
      </c>
      <c r="O306" s="38">
        <f t="shared" ca="1" si="25"/>
        <v>27</v>
      </c>
      <c r="P306" s="39" t="str">
        <f t="shared" ca="1" si="26"/>
        <v>CALIBRADO</v>
      </c>
      <c r="Q306" s="86" t="s">
        <v>353</v>
      </c>
      <c r="R306" t="s">
        <v>355</v>
      </c>
    </row>
    <row r="307" spans="1:18" x14ac:dyDescent="0.3">
      <c r="A307" t="s">
        <v>20</v>
      </c>
      <c r="B307" t="s">
        <v>21</v>
      </c>
      <c r="C307" t="s">
        <v>82</v>
      </c>
      <c r="D307" s="8" t="s">
        <v>83</v>
      </c>
      <c r="E307" s="89" t="s">
        <v>297</v>
      </c>
      <c r="F307" s="125">
        <f t="shared" si="27"/>
        <v>43985</v>
      </c>
      <c r="G307" s="4">
        <v>44350</v>
      </c>
      <c r="H307" s="2" t="s">
        <v>28</v>
      </c>
      <c r="I307" s="2" t="s">
        <v>19</v>
      </c>
      <c r="J307" t="s">
        <v>46</v>
      </c>
      <c r="K307" s="7">
        <v>44270</v>
      </c>
      <c r="L307" s="3" t="s">
        <v>313</v>
      </c>
      <c r="M307" s="36">
        <f t="shared" ca="1" si="28"/>
        <v>44322</v>
      </c>
      <c r="N307" s="37" t="str">
        <f t="shared" ca="1" si="24"/>
        <v>NO</v>
      </c>
      <c r="O307" s="38">
        <f t="shared" ca="1" si="25"/>
        <v>28</v>
      </c>
      <c r="P307" s="39" t="str">
        <f t="shared" ca="1" si="26"/>
        <v>CALIBRADO</v>
      </c>
      <c r="Q307" s="88" t="s">
        <v>352</v>
      </c>
      <c r="R307" s="90" t="s">
        <v>358</v>
      </c>
    </row>
    <row r="308" spans="1:18" x14ac:dyDescent="0.3">
      <c r="A308" t="s">
        <v>20</v>
      </c>
      <c r="B308" t="s">
        <v>21</v>
      </c>
      <c r="C308" t="s">
        <v>82</v>
      </c>
      <c r="D308" s="8" t="s">
        <v>83</v>
      </c>
      <c r="E308" s="89" t="s">
        <v>298</v>
      </c>
      <c r="F308" s="125">
        <f t="shared" si="27"/>
        <v>43986</v>
      </c>
      <c r="G308" s="4">
        <v>44351</v>
      </c>
      <c r="H308" s="2" t="s">
        <v>28</v>
      </c>
      <c r="I308" s="2" t="s">
        <v>19</v>
      </c>
      <c r="J308" t="s">
        <v>46</v>
      </c>
      <c r="K308" s="7">
        <v>44270</v>
      </c>
      <c r="L308" s="3" t="s">
        <v>313</v>
      </c>
      <c r="M308" s="36">
        <f t="shared" ca="1" si="28"/>
        <v>44322</v>
      </c>
      <c r="N308" s="37" t="str">
        <f t="shared" ca="1" si="24"/>
        <v>NO</v>
      </c>
      <c r="O308" s="38">
        <f t="shared" ca="1" si="25"/>
        <v>29</v>
      </c>
      <c r="P308" s="39" t="str">
        <f t="shared" ca="1" si="26"/>
        <v>CALIBRADO</v>
      </c>
      <c r="Q308" s="86" t="s">
        <v>353</v>
      </c>
      <c r="R308" t="s">
        <v>355</v>
      </c>
    </row>
    <row r="309" spans="1:18" x14ac:dyDescent="0.3">
      <c r="A309" t="s">
        <v>20</v>
      </c>
      <c r="B309" t="s">
        <v>21</v>
      </c>
      <c r="C309" t="s">
        <v>82</v>
      </c>
      <c r="D309" s="8" t="s">
        <v>143</v>
      </c>
      <c r="E309" s="89" t="s">
        <v>296</v>
      </c>
      <c r="F309" s="125">
        <f t="shared" si="27"/>
        <v>44026</v>
      </c>
      <c r="G309" s="4">
        <v>44391</v>
      </c>
      <c r="H309" s="2" t="s">
        <v>28</v>
      </c>
      <c r="I309" s="2" t="s">
        <v>19</v>
      </c>
      <c r="J309" t="s">
        <v>46</v>
      </c>
      <c r="K309" s="7">
        <v>44270</v>
      </c>
      <c r="L309" s="3" t="s">
        <v>313</v>
      </c>
      <c r="M309" s="36">
        <f t="shared" ca="1" si="28"/>
        <v>44322</v>
      </c>
      <c r="N309" s="37" t="str">
        <f t="shared" ca="1" si="24"/>
        <v>NO</v>
      </c>
      <c r="O309" s="38">
        <f t="shared" ca="1" si="25"/>
        <v>69</v>
      </c>
      <c r="P309" s="39" t="str">
        <f t="shared" ca="1" si="26"/>
        <v>CALIBRADO</v>
      </c>
      <c r="Q309" s="86" t="s">
        <v>353</v>
      </c>
      <c r="R309" t="s">
        <v>355</v>
      </c>
    </row>
    <row r="310" spans="1:18" x14ac:dyDescent="0.3">
      <c r="A310" t="s">
        <v>32</v>
      </c>
      <c r="B310" t="s">
        <v>21</v>
      </c>
      <c r="C310" t="s">
        <v>82</v>
      </c>
      <c r="D310" s="8" t="s">
        <v>136</v>
      </c>
      <c r="E310" s="89" t="s">
        <v>293</v>
      </c>
      <c r="F310" s="125">
        <f t="shared" si="27"/>
        <v>44042</v>
      </c>
      <c r="G310" s="4">
        <v>44407</v>
      </c>
      <c r="H310" s="2" t="s">
        <v>28</v>
      </c>
      <c r="I310" s="2" t="s">
        <v>19</v>
      </c>
      <c r="J310" t="s">
        <v>46</v>
      </c>
      <c r="K310" s="7">
        <v>44270</v>
      </c>
      <c r="L310" s="3" t="s">
        <v>313</v>
      </c>
      <c r="M310" s="36">
        <f t="shared" ca="1" si="28"/>
        <v>44322</v>
      </c>
      <c r="N310" s="37" t="str">
        <f t="shared" ca="1" si="24"/>
        <v>NO</v>
      </c>
      <c r="O310" s="38">
        <f t="shared" ca="1" si="25"/>
        <v>85</v>
      </c>
      <c r="P310" s="39" t="str">
        <f t="shared" ca="1" si="26"/>
        <v>CALIBRADO</v>
      </c>
      <c r="Q310" s="86" t="s">
        <v>351</v>
      </c>
      <c r="R310" t="s">
        <v>354</v>
      </c>
    </row>
    <row r="311" spans="1:18" x14ac:dyDescent="0.3">
      <c r="A311" t="s">
        <v>52</v>
      </c>
      <c r="B311" t="s">
        <v>21</v>
      </c>
      <c r="C311" t="s">
        <v>98</v>
      </c>
      <c r="D311" s="8" t="s">
        <v>66</v>
      </c>
      <c r="E311" s="89">
        <v>120933</v>
      </c>
      <c r="F311" s="125">
        <f t="shared" si="27"/>
        <v>44048</v>
      </c>
      <c r="G311" s="4">
        <v>44413</v>
      </c>
      <c r="H311" s="2" t="s">
        <v>28</v>
      </c>
      <c r="I311" s="2" t="s">
        <v>19</v>
      </c>
      <c r="J311" t="s">
        <v>46</v>
      </c>
      <c r="K311" s="7">
        <v>44270</v>
      </c>
      <c r="L311" s="3" t="s">
        <v>313</v>
      </c>
      <c r="M311" s="36">
        <f t="shared" ca="1" si="28"/>
        <v>44322</v>
      </c>
      <c r="N311" s="37" t="str">
        <f t="shared" ca="1" si="24"/>
        <v>NO</v>
      </c>
      <c r="O311" s="38">
        <f t="shared" ca="1" si="25"/>
        <v>91</v>
      </c>
      <c r="P311" s="39" t="str">
        <f t="shared" ca="1" si="26"/>
        <v>CALIBRADO</v>
      </c>
      <c r="Q311" s="86" t="s">
        <v>356</v>
      </c>
      <c r="R311" t="s">
        <v>357</v>
      </c>
    </row>
    <row r="312" spans="1:18" x14ac:dyDescent="0.3">
      <c r="A312" t="s">
        <v>20</v>
      </c>
      <c r="B312" t="s">
        <v>21</v>
      </c>
      <c r="C312" t="s">
        <v>82</v>
      </c>
      <c r="D312" s="8" t="s">
        <v>251</v>
      </c>
      <c r="E312" s="89">
        <v>1530141323</v>
      </c>
      <c r="F312" s="125">
        <f t="shared" si="27"/>
        <v>44057</v>
      </c>
      <c r="G312" s="4">
        <v>44422</v>
      </c>
      <c r="H312" s="2" t="s">
        <v>28</v>
      </c>
      <c r="I312" s="2" t="s">
        <v>19</v>
      </c>
      <c r="J312" t="s">
        <v>46</v>
      </c>
      <c r="K312" s="7">
        <v>44270</v>
      </c>
      <c r="L312" s="3" t="s">
        <v>313</v>
      </c>
      <c r="M312" s="36">
        <f t="shared" ca="1" si="28"/>
        <v>44322</v>
      </c>
      <c r="N312" s="37" t="str">
        <f t="shared" ca="1" si="24"/>
        <v>NO</v>
      </c>
      <c r="O312" s="38">
        <f t="shared" ca="1" si="25"/>
        <v>100</v>
      </c>
      <c r="P312" s="39" t="str">
        <f t="shared" ca="1" si="26"/>
        <v>CALIBRADO</v>
      </c>
      <c r="Q312" s="86" t="s">
        <v>353</v>
      </c>
      <c r="R312" t="s">
        <v>355</v>
      </c>
    </row>
    <row r="313" spans="1:18" x14ac:dyDescent="0.3">
      <c r="A313" t="s">
        <v>32</v>
      </c>
      <c r="B313" t="s">
        <v>21</v>
      </c>
      <c r="C313" t="s">
        <v>98</v>
      </c>
      <c r="D313" s="8" t="s">
        <v>41</v>
      </c>
      <c r="E313" s="10" t="s">
        <v>292</v>
      </c>
      <c r="F313" s="119">
        <f t="shared" si="27"/>
        <v>44063</v>
      </c>
      <c r="G313" s="4">
        <v>44428</v>
      </c>
      <c r="H313" s="2" t="s">
        <v>28</v>
      </c>
      <c r="I313" s="2" t="s">
        <v>19</v>
      </c>
      <c r="J313" t="s">
        <v>46</v>
      </c>
      <c r="K313" s="7">
        <v>44270</v>
      </c>
      <c r="L313" s="3" t="s">
        <v>313</v>
      </c>
      <c r="M313" s="36">
        <f t="shared" ca="1" si="28"/>
        <v>44322</v>
      </c>
      <c r="N313" s="37" t="str">
        <f t="shared" ca="1" si="24"/>
        <v>NO</v>
      </c>
      <c r="O313" s="38">
        <f t="shared" ca="1" si="25"/>
        <v>106</v>
      </c>
      <c r="P313" s="39" t="str">
        <f t="shared" ca="1" si="26"/>
        <v>CALIBRADO</v>
      </c>
      <c r="Q313" t="s">
        <v>348</v>
      </c>
    </row>
    <row r="314" spans="1:18" x14ac:dyDescent="0.3">
      <c r="A314" t="s">
        <v>32</v>
      </c>
      <c r="B314" t="s">
        <v>21</v>
      </c>
      <c r="C314" t="s">
        <v>64</v>
      </c>
      <c r="D314" s="8" t="s">
        <v>125</v>
      </c>
      <c r="E314" s="89">
        <v>16159066</v>
      </c>
      <c r="F314" s="125">
        <f t="shared" si="27"/>
        <v>44064</v>
      </c>
      <c r="G314" s="4">
        <v>44429</v>
      </c>
      <c r="H314" s="2" t="s">
        <v>28</v>
      </c>
      <c r="I314" s="2" t="s">
        <v>19</v>
      </c>
      <c r="J314" t="s">
        <v>46</v>
      </c>
      <c r="K314" s="7">
        <v>44270</v>
      </c>
      <c r="L314" s="3" t="s">
        <v>313</v>
      </c>
      <c r="M314" s="36">
        <f t="shared" ca="1" si="28"/>
        <v>44322</v>
      </c>
      <c r="N314" s="37" t="str">
        <f t="shared" ca="1" si="24"/>
        <v>NO</v>
      </c>
      <c r="O314" s="38">
        <f t="shared" ca="1" si="25"/>
        <v>107</v>
      </c>
      <c r="P314" s="39" t="str">
        <f t="shared" ca="1" si="26"/>
        <v>CALIBRADO</v>
      </c>
      <c r="Q314" s="92" t="s">
        <v>351</v>
      </c>
      <c r="R314" t="s">
        <v>354</v>
      </c>
    </row>
    <row r="315" spans="1:18" x14ac:dyDescent="0.3">
      <c r="A315" t="s">
        <v>52</v>
      </c>
      <c r="B315" t="s">
        <v>21</v>
      </c>
      <c r="C315" t="s">
        <v>82</v>
      </c>
      <c r="D315" s="8" t="s">
        <v>66</v>
      </c>
      <c r="E315" s="89">
        <v>100563</v>
      </c>
      <c r="F315" s="125">
        <f t="shared" si="27"/>
        <v>44094</v>
      </c>
      <c r="G315" s="4">
        <v>44459</v>
      </c>
      <c r="H315" s="2" t="s">
        <v>28</v>
      </c>
      <c r="I315" s="2" t="s">
        <v>19</v>
      </c>
      <c r="J315" t="s">
        <v>46</v>
      </c>
      <c r="K315" s="7">
        <v>44270</v>
      </c>
      <c r="L315" s="3" t="s">
        <v>313</v>
      </c>
      <c r="M315" s="36">
        <f t="shared" ca="1" si="28"/>
        <v>44322</v>
      </c>
      <c r="N315" s="37" t="str">
        <f t="shared" ca="1" si="24"/>
        <v>NO</v>
      </c>
      <c r="O315" s="38">
        <f t="shared" ca="1" si="25"/>
        <v>137</v>
      </c>
      <c r="P315" s="39" t="str">
        <f t="shared" ca="1" si="26"/>
        <v>CALIBRADO</v>
      </c>
      <c r="Q315" s="86" t="s">
        <v>356</v>
      </c>
      <c r="R315" t="s">
        <v>357</v>
      </c>
    </row>
    <row r="316" spans="1:18" x14ac:dyDescent="0.3">
      <c r="A316" t="s">
        <v>52</v>
      </c>
      <c r="B316" t="s">
        <v>21</v>
      </c>
      <c r="C316" t="s">
        <v>64</v>
      </c>
      <c r="D316" s="8" t="s">
        <v>125</v>
      </c>
      <c r="E316" s="89" t="s">
        <v>304</v>
      </c>
      <c r="F316" s="125">
        <f t="shared" si="27"/>
        <v>44123</v>
      </c>
      <c r="G316" s="4">
        <v>44488</v>
      </c>
      <c r="H316" s="2" t="s">
        <v>28</v>
      </c>
      <c r="I316" s="2" t="s">
        <v>19</v>
      </c>
      <c r="J316" t="s">
        <v>46</v>
      </c>
      <c r="K316" s="7">
        <v>44270</v>
      </c>
      <c r="L316" s="3" t="s">
        <v>313</v>
      </c>
      <c r="M316" s="36">
        <f t="shared" ca="1" si="28"/>
        <v>44322</v>
      </c>
      <c r="N316" s="37" t="str">
        <f t="shared" ca="1" si="24"/>
        <v>NO</v>
      </c>
      <c r="O316" s="38">
        <f t="shared" ca="1" si="25"/>
        <v>166</v>
      </c>
      <c r="P316" s="39" t="str">
        <f t="shared" ca="1" si="26"/>
        <v>CALIBRADO</v>
      </c>
      <c r="Q316" s="86" t="s">
        <v>356</v>
      </c>
      <c r="R316" t="s">
        <v>357</v>
      </c>
    </row>
    <row r="317" spans="1:18" x14ac:dyDescent="0.3">
      <c r="A317" t="s">
        <v>20</v>
      </c>
      <c r="B317" t="s">
        <v>21</v>
      </c>
      <c r="C317" t="s">
        <v>149</v>
      </c>
      <c r="D317" s="8" t="s">
        <v>295</v>
      </c>
      <c r="E317" s="91">
        <v>100328717</v>
      </c>
      <c r="F317" s="126">
        <f t="shared" si="27"/>
        <v>44155</v>
      </c>
      <c r="G317" s="69">
        <v>44520</v>
      </c>
      <c r="H317" s="2" t="s">
        <v>28</v>
      </c>
      <c r="I317" s="2" t="s">
        <v>19</v>
      </c>
      <c r="J317" t="s">
        <v>46</v>
      </c>
      <c r="K317" s="7">
        <v>44270</v>
      </c>
      <c r="L317" s="3" t="s">
        <v>313</v>
      </c>
      <c r="M317" s="36">
        <f t="shared" ca="1" si="28"/>
        <v>44322</v>
      </c>
      <c r="N317" s="37" t="str">
        <f t="shared" ca="1" si="24"/>
        <v>NO</v>
      </c>
      <c r="O317" s="38">
        <f t="shared" ca="1" si="25"/>
        <v>198</v>
      </c>
      <c r="P317" s="39" t="str">
        <f t="shared" ca="1" si="26"/>
        <v>CALIBRADO</v>
      </c>
      <c r="Q317" s="86" t="s">
        <v>353</v>
      </c>
      <c r="R317" t="s">
        <v>355</v>
      </c>
    </row>
    <row r="318" spans="1:18" x14ac:dyDescent="0.3">
      <c r="A318" t="s">
        <v>20</v>
      </c>
      <c r="B318" t="s">
        <v>21</v>
      </c>
      <c r="C318" t="s">
        <v>149</v>
      </c>
      <c r="D318" s="8" t="s">
        <v>295</v>
      </c>
      <c r="E318" s="89">
        <v>100328715</v>
      </c>
      <c r="F318" s="125">
        <f t="shared" si="27"/>
        <v>44155</v>
      </c>
      <c r="G318" s="4">
        <v>44520</v>
      </c>
      <c r="H318" s="2" t="s">
        <v>28</v>
      </c>
      <c r="I318" s="2" t="s">
        <v>19</v>
      </c>
      <c r="J318" t="s">
        <v>46</v>
      </c>
      <c r="K318" s="7">
        <v>44270</v>
      </c>
      <c r="L318" s="3" t="s">
        <v>313</v>
      </c>
      <c r="M318" s="59">
        <f t="shared" ca="1" si="28"/>
        <v>44322</v>
      </c>
      <c r="N318" s="60" t="str">
        <f t="shared" ca="1" si="24"/>
        <v>NO</v>
      </c>
      <c r="O318" s="38">
        <f t="shared" ca="1" si="25"/>
        <v>198</v>
      </c>
      <c r="P318" s="61" t="str">
        <f t="shared" ca="1" si="26"/>
        <v>CALIBRADO</v>
      </c>
      <c r="Q318" s="86" t="s">
        <v>353</v>
      </c>
      <c r="R318" t="s">
        <v>355</v>
      </c>
    </row>
    <row r="323" spans="4:4" x14ac:dyDescent="0.3">
      <c r="D323" s="80"/>
    </row>
  </sheetData>
  <conditionalFormatting sqref="P1:P1048576">
    <cfRule type="cellIs" dxfId="6" priority="68" operator="equal">
      <formula>#REF!</formula>
    </cfRule>
  </conditionalFormatting>
  <conditionalFormatting sqref="P319">
    <cfRule type="cellIs" dxfId="5" priority="82" operator="equal">
      <formula>#REF!</formula>
    </cfRule>
  </conditionalFormatting>
  <conditionalFormatting sqref="O1:O1048576">
    <cfRule type="iconSet" priority="57">
      <iconSet iconSet="3Symbols">
        <cfvo type="percent" val="0"/>
        <cfvo type="num" val="0"/>
        <cfvo type="num" val="15" gte="0"/>
      </iconSet>
    </cfRule>
  </conditionalFormatting>
  <conditionalFormatting sqref="E319">
    <cfRule type="duplicateValues" dxfId="4" priority="52"/>
  </conditionalFormatting>
  <conditionalFormatting sqref="E319">
    <cfRule type="duplicateValues" dxfId="3" priority="49"/>
    <cfRule type="duplicateValues" dxfId="2" priority="50"/>
  </conditionalFormatting>
  <conditionalFormatting sqref="E319">
    <cfRule type="duplicateValues" dxfId="1" priority="51"/>
  </conditionalFormatting>
  <conditionalFormatting sqref="O319">
    <cfRule type="iconSet" priority="155">
      <iconSet iconSet="3Symbols">
        <cfvo type="percent" val="0"/>
        <cfvo type="num" val="0"/>
        <cfvo type="num" val="15" gte="0"/>
      </iconSet>
    </cfRule>
  </conditionalFormatting>
  <conditionalFormatting sqref="E1:E1048576">
    <cfRule type="duplicateValues" dxfId="0" priority="1"/>
  </conditionalFormatting>
  <hyperlinks>
    <hyperlink ref="Q143" r:id="rId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Dynatel%5F994600B4" xr:uid="{1DD52078-696D-4D85-854B-6DD3640B9722}"/>
    <hyperlink ref="Q140" r:id="rId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Fusionadora%5FAA431804010317" xr:uid="{6C634EE2-1C3E-4D4B-92AF-BD95E8F2ED72}"/>
    <hyperlink ref="Q141" r:id="rId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Megger%5FU395993GC" xr:uid="{9532C967-14B3-40F4-8B4C-FDEC70168C18}"/>
    <hyperlink ref="Q142" r:id="rId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Caqueta%2FCaquet%C3%A1%5FOTDR%5F16159080" xr:uid="{FB6DDA02-3C4E-4F1A-880D-11B42B7E9DB3}"/>
    <hyperlink ref="Q202" r:id="rId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Dynatel%5F993300Y8" xr:uid="{71A365E4-0D86-4BFC-9818-567FACD36321}"/>
    <hyperlink ref="Q201" r:id="rId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31804010335" xr:uid="{D2B14763-D13E-476B-8350-AE91B2B2E663}"/>
    <hyperlink ref="Q200" r:id="rId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Fusionadora%5FAA461612020091" xr:uid="{937FF650-FF6D-4B00-937A-65C3002B2825}"/>
    <hyperlink ref="Q204" r:id="rId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Megger%5FD736152" xr:uid="{C6A62856-CE74-4434-B27F-3E9853251130}"/>
    <hyperlink ref="Q203" r:id="rId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6159024" xr:uid="{8932941F-A2AC-4E08-9AFC-2B0EA6FDFE9F}"/>
    <hyperlink ref="Q205" r:id="rId1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Huila%2FHuila%5FOTDR%5F18159159" xr:uid="{C1648CB3-3EDA-4142-967C-A7CE679BDA22}"/>
    <hyperlink ref="Q243" r:id="rId1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Dynatel%5F9952000HW" xr:uid="{04BBE9BB-F7DB-4752-9C17-A279624AEB4A}"/>
    <hyperlink ref="Q242" r:id="rId1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Fernando%20Lozada%20Tambo%2FPutumayo%2FPutumayo%5FMegger%5FF077067BA" xr:uid="{A6A8AC01-42FE-4619-922B-A3CAA2010553}"/>
    <hyperlink ref="Q314" r:id="rId13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DE%20MEDICION%20COBRA%20VALLE%20PACIFICO%2Erar&amp;parent=%2Fsites%2FCALIBRACIONDEEQUIPOS%2ETMHNH%2FShared%20Documents%2FGeneral%2FAuditorias%20Calibracion%20Equipos%202021%2FAuditoria%201Q%2FFernando%20Lozada%20Tambo%2FValle%20del%20Cauca" xr:uid="{1F8D90DA-DE5E-4F7F-BA1D-15594C29DDE2}"/>
    <hyperlink ref="Q302" r:id="rId14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NORTE%20MARZO%202021%2Erar&amp;parent=%2Fsites%2FCALIBRACIONDEEQUIPOS%2ETMHNH%2FShared%20Documents%2FGeneral%2FAuditorias%20Calibracion%20Equipos%202021%2FAuditoria%201Q%2FFernando%20Lozada%20Tambo%2FValle%20del%20Cauca" xr:uid="{D6A8B065-95EF-436D-9C0E-25EBF4FBB639}"/>
    <hyperlink ref="Q307" r:id="rId15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NORTE%20MARZO%202021%2Erar&amp;parent=%2Fsites%2FCALIBRACIONDEEQUIPOS%2ETMHNH%2FShared%20Documents%2FGeneral%2FAuditorias%20Calibracion%20Equipos%202021%2FAuditoria%201Q%2FFernando%20Lozada%20Tambo%2FValle%20del%20Cauca" xr:uid="{AE0A0406-33E7-4CF6-AF9A-1D7D0FB79DF3}"/>
    <hyperlink ref="Q300" r:id="rId16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1BF4644C-8AFA-4112-B5A6-690B437E59A0}"/>
    <hyperlink ref="Q301" r:id="rId17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34B6F2CD-A163-46AC-B068-6E03AB7085C2}"/>
    <hyperlink ref="Q306" r:id="rId18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B6DF219C-3A27-497A-B35D-8C99338C93CB}"/>
    <hyperlink ref="Q312" r:id="rId19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E1AA2706-07A3-48EE-8574-2073D4F136AC}"/>
    <hyperlink ref="Q308" r:id="rId20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F38E6605-6B87-491D-8A5A-EC33F7F33991}"/>
    <hyperlink ref="Q309" r:id="rId21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FA0697CA-07E6-49D9-B0F5-0072B570D88D}"/>
    <hyperlink ref="Q317" r:id="rId22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8B316BBF-9467-42F6-82BD-ABE163A711FD}"/>
    <hyperlink ref="Q318" r:id="rId23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61668528-C2C7-418B-BF7D-6B67141DC27E}"/>
    <hyperlink ref="Q298" r:id="rId24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FD5AA8F3-5773-46CC-8D53-0F4AF75C6300}"/>
    <hyperlink ref="Q299" r:id="rId25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5B7F5F9F-9226-415B-AB8D-0035A2138D69}"/>
    <hyperlink ref="Q304" r:id="rId26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EMC%20VALLE%20SUR%20%20MARZO%202021%2Erar&amp;parent=%2Fsites%2FCALIBRACIONDEEQUIPOS%2ETMHNH%2FShared%20Documents%2FGeneral%2FAuditorias%20Calibracion%20Equipos%202021%2FAuditoria%201Q%2FFernando%20Lozada%20Tambo%2FValle%20del%20Cauca" xr:uid="{8162102E-C043-45AC-A619-BD484E66FE80}"/>
    <hyperlink ref="Q315" r:id="rId27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xr:uid="{8F57176D-0189-4F3C-A91E-D2E2619286AA}"/>
    <hyperlink ref="Q305" r:id="rId28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xr:uid="{B2BAB63F-F5B9-4AE5-B9F8-AF62B67692C3}"/>
    <hyperlink ref="Q316" r:id="rId29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xr:uid="{DD8F3A2E-7EFA-46D8-8A69-C929CD105AD0}"/>
    <hyperlink ref="Q311" r:id="rId30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MEDICION%20OPTECOM%20CALI%20MARZO%202021%2Erar&amp;parent=%2Fsites%2FCALIBRACIONDEEQUIPOS%2ETMHNH%2FShared%20Documents%2FGeneral%2FAuditorias%20Calibracion%20Equipos%202021%2FAuditoria%201Q%2FFernando%20Lozada%20Tambo%2FValle%20del%20Cauca" xr:uid="{1E7CCBFF-9E73-4A08-B2C5-5B0C89EB4793}"/>
    <hyperlink ref="Q310" r:id="rId31" display="https://telefonicacorp.sharepoint.com/sites/CALIBRACIONDEEQUIPOS.TMHNH/Shared%20Documents/Forms/AllItems.aspx?FolderCTID=0x01200009AC21879B63114498BF7ED828DBDBCD&amp;id=%2Fsites%2FCALIBRACIONDEEQUIPOS%2ETMHNH%2FShared%20Documents%2FGeneral%2FAuditorias%20Calibracion%20Equipos%202021%2FAuditoria%201Q%2FFernando%20Lozada%20Tambo%2FValle%20del%20Cauca%2FEQUIPOS%20DE%20MEDICION%20COBRA%20VALLE%20PACIFICO%2Erar&amp;parent=%2Fsites%2FCALIBRACIONDEEQUIPOS%2ETMHNH%2FShared%20Documents%2FGeneral%2FAuditorias%20Calibracion%20Equipos%202021%2FAuditoria%201Q%2FFernando%20Lozada%20Tambo%2FValle%20del%20Cauca" xr:uid="{94C27B83-664C-4789-8FCC-380C8C1B4C1A}"/>
    <hyperlink ref="Q11" r:id="rId3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03326" xr:uid="{70FDDDA0-D154-46A7-9942-9839162FB28C}"/>
    <hyperlink ref="Q14" r:id="rId3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6C00007917%2D6C00005513" xr:uid="{4B8ED047-37B4-42C2-875E-4E66B100C23F}"/>
    <hyperlink ref="Q3" r:id="rId3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71905019" xr:uid="{391BCCD7-2D3B-4B2C-A8DE-3459EBADEAA2}"/>
    <hyperlink ref="Q12" r:id="rId3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524491" xr:uid="{205944CF-7556-4D5F-A78B-27B999C1828A}"/>
    <hyperlink ref="Q10" r:id="rId3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Antioquia%2FSN%20T207H180725641" xr:uid="{F7582E80-70EE-4E0C-9075-D26BA4341A4D}"/>
    <hyperlink ref="Q133" r:id="rId3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07300064" xr:uid="{B4A8A06B-F329-470E-BFD1-2B8080D6DCA5}"/>
    <hyperlink ref="Q135" r:id="rId3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0622071" xr:uid="{1B71E64B-5193-4AEA-9F06-5287B09F1EA9}"/>
    <hyperlink ref="Q134" r:id="rId3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18159151" xr:uid="{7C87DBEA-271F-4E8F-9893-7E661BE09947}"/>
    <hyperlink ref="Q139" r:id="rId4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aldas%2FQE331986840" xr:uid="{ED588104-B19B-4674-A021-3ABF56F31B02}"/>
    <hyperlink ref="R158" r:id="rId4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ESFHA01973" xr:uid="{1C1A5937-F317-4910-BC8B-EE0234413DD9}"/>
    <hyperlink ref="Q164" r:id="rId4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DYNATEL%2005310078" xr:uid="{4EA11DB3-6CF5-454F-AFBE-A09E41FDEE15}"/>
    <hyperlink ref="Q275" r:id="rId4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9951042F" xr:uid="{243ABC46-D9D0-47AD-B6BA-B03AAF9DACCB}"/>
    <hyperlink ref="Q162" r:id="rId4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%2D%208A350A2618084446%5FCERTIFICADO" xr:uid="{A1A72A07-583C-4F8A-969D-CC1EBB29AD21}"/>
    <hyperlink ref="Q2" r:id="rId4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hoco%2F207H180725570" xr:uid="{E5ACD136-D427-4851-9704-210AE58A9B5E}"/>
    <hyperlink ref="Q161" r:id="rId4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MAQUINA%20FUSIONADORA%2006716" xr:uid="{87294E44-0550-4841-96BA-523E7E065B89}"/>
    <hyperlink ref="Q163" r:id="rId4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Cordoba%2FOTDR%20%2D%206C00058441" xr:uid="{9D25B329-8AFD-41A2-95FB-277AFF954CC7}"/>
    <hyperlink ref="Q247" r:id="rId4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16159079" xr:uid="{4CFE931C-4841-40B3-8A47-C87D045869C8}"/>
    <hyperlink ref="Q245" r:id="rId4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Quindio%2FAA431810012331" xr:uid="{934338C9-A219-4A34-8168-E185B6921B15}"/>
    <hyperlink ref="Q249" r:id="rId5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16159070" xr:uid="{5A47E885-AA35-47CF-AD16-B308D62512A6}"/>
    <hyperlink ref="Q251" r:id="rId5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Risaralda%2FAA431804010336" xr:uid="{66CCAD27-1A6B-4523-9429-26B5271149EC}"/>
    <hyperlink ref="Q272" r:id="rId5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0247009Y" xr:uid="{34A35DB8-F4B3-45D7-A6F0-F500E756670B}"/>
    <hyperlink ref="Q270" r:id="rId5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6200667639%20OTDR" xr:uid="{280E26E8-D088-4DA2-82D5-2AB8055EEB16}"/>
    <hyperlink ref="Q271" r:id="rId5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984200FY" xr:uid="{09135566-3BDB-4B44-A92E-37EE446B0490}"/>
    <hyperlink ref="Q269" r:id="rId5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Sucre%2FV03820091058" xr:uid="{8ACDF3A5-FCEC-4DE9-B617-1ABD0AB96A1A}"/>
    <hyperlink ref="Q284" r:id="rId5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2901P9" xr:uid="{5B135D54-1BF8-43F1-9831-2C3E9799DAF6}"/>
    <hyperlink ref="Q292" r:id="rId5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003102JA" xr:uid="{93B46D06-BF9B-457F-950E-39B430D97A21}"/>
    <hyperlink ref="Q285" r:id="rId5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386" xr:uid="{80043009-28C2-4293-8809-EC89EB529579}"/>
    <hyperlink ref="Q278" r:id="rId5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00911" xr:uid="{27D19D99-92A7-4334-9F51-1E759406B0BC}"/>
    <hyperlink ref="Q291" r:id="rId6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16G1804" xr:uid="{12D79BF0-C204-4D92-8BC1-BE01AB434931}"/>
    <hyperlink ref="Q281" r:id="rId6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2G13SQ1151" xr:uid="{89A4C818-CFDC-47CB-B95F-8441D6F0954E}"/>
    <hyperlink ref="Q280" r:id="rId6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440053" xr:uid="{3EC28225-9122-47F2-827B-052C6F6B2B31}"/>
    <hyperlink ref="Q290" r:id="rId6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hn%20Freddy%20Varela%20Chitiva%2FTolima%2FJD42591CA" xr:uid="{957109A5-D727-459E-A5E2-59ADF6147CA9}"/>
    <hyperlink ref="Q17" r:id="rId6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Arauca%2FCALIBRACION%20ARAUCA" xr:uid="{FFE183E5-1B94-4FD9-8EC7-005F39A0AB7B}"/>
    <hyperlink ref="Q119" r:id="rId6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531007D" xr:uid="{B257FC33-379F-458A-BBB3-83198FCDCE32}"/>
    <hyperlink ref="Q148" r:id="rId6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0024007LW" xr:uid="{9AA7B762-CF93-403E-BD5C-6DF08D1A38DB}"/>
    <hyperlink ref="Q147" r:id="rId6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17889" xr:uid="{A615E46E-6FDA-40CA-B356-C19FF43A07CE}"/>
    <hyperlink ref="Q144" r:id="rId6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2511551" xr:uid="{C4ADCB7D-D372-459C-B1BF-FCBFFD60CCBE}"/>
    <hyperlink ref="Q145" r:id="rId6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Casanare%2F6200755581" xr:uid="{7EC0CFCD-090E-4BA6-B164-B4A12C356D0B}"/>
    <hyperlink ref="Q222" r:id="rId7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Meta" xr:uid="{5FC56B79-6AC6-430E-BB7C-41D255276CB1}"/>
    <hyperlink ref="Q236" r:id="rId7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0638004W" xr:uid="{F496B2C1-4A28-46F8-A083-095975A44DCD}"/>
    <hyperlink ref="Q237" r:id="rId7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130259" xr:uid="{896C5742-F6BA-4DAA-B020-C7DCC23E679E}"/>
    <hyperlink ref="Q235" r:id="rId7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17151553" xr:uid="{F01D1800-D471-402A-A0EC-BD07A3F03595}"/>
    <hyperlink ref="Q233" r:id="rId7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2511837" xr:uid="{B5A6F4BC-B541-4D1B-B5F6-2FF5B21EAA3F}"/>
    <hyperlink ref="Q239" r:id="rId7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AA431810012357" xr:uid="{9005010A-4214-4ADC-A34A-053F7653BAE6}"/>
    <hyperlink ref="Q240" r:id="rId7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ESFHAO22915" xr:uid="{496B460D-C179-4B19-AF8F-2184EFA714B2}"/>
    <hyperlink ref="Q234" r:id="rId7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Norte%20de%20Santander%2FV03E19079575" xr:uid="{DCCE7B37-655B-4218-9473-2CC169F6DEFE}"/>
    <hyperlink ref="Q128" r:id="rId7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17332059" xr:uid="{E55DC6E8-2887-404E-A5FF-5AF571B5618D}"/>
    <hyperlink ref="Q130" r:id="rId7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2" xr:uid="{F1250B29-496D-4C19-9C5C-C69DACC6BDB1}"/>
    <hyperlink ref="Q129" r:id="rId8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3" xr:uid="{0C37DA63-3A2D-4E52-9846-1D726CC84E86}"/>
    <hyperlink ref="Q131" r:id="rId8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913036" xr:uid="{778C0F80-71C4-477C-81C7-16DD778263FA}"/>
    <hyperlink ref="Q264" r:id="rId8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ANALIZADOR%20DE%20E1%202511546" xr:uid="{4BC70927-9F79-4829-9A82-7464C6AF7962}"/>
    <hyperlink ref="Q259" r:id="rId8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000YYV43577" xr:uid="{109EFDF4-5C04-45C8-B0B8-1AD72B799ABE}"/>
    <hyperlink ref="Q262" r:id="rId8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04800ETW" xr:uid="{5429690F-E0FA-4F78-B412-26B4A9CA0F19}"/>
    <hyperlink ref="Q258" r:id="rId8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DYNATEL%2D0531007C" xr:uid="{CB284EF8-A146-4F61-8D5A-6F4B144DC85C}"/>
    <hyperlink ref="Q256" r:id="rId8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05411" xr:uid="{CA5CC441-F3EB-481C-9FB8-350ACA8022CA}"/>
    <hyperlink ref="Q265" r:id="rId8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0H1858350091" xr:uid="{15254721-9E07-4DD0-9EB0-21AF5F6A5F19}"/>
    <hyperlink ref="Q255" r:id="rId8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AA431810012069" xr:uid="{8D76FB58-BED7-4331-BA83-47139AEEAE88}"/>
    <hyperlink ref="Q267" r:id="rId8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FUSIONADORA%2DV03K19092548" xr:uid="{DD6B1D20-9C17-4710-B54F-C8DEA5A821C1}"/>
    <hyperlink ref="Q260" r:id="rId9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MEGGER%20OE6001B" xr:uid="{82379FE1-DD64-431A-8C5E-2BDCD6AA0072}"/>
    <hyperlink ref="Q268" r:id="rId9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14117157" xr:uid="{CD92FC44-82B7-4F36-8440-6867A68B5810}"/>
    <hyperlink ref="Q263" r:id="rId9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06200990102" xr:uid="{1689298A-B0E9-43BC-B1B1-D6F09F90CE1A}"/>
    <hyperlink ref="Q261" r:id="rId9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00248" xr:uid="{207E42A7-15D9-4778-B4BC-C875CC1F8B49}"/>
    <hyperlink ref="Q266" r:id="rId9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Santander%2FSeguimiento%20calibraci%C3%B3n%20equipos%20Opegin%20Santander%2FOTDR%2D16159032" xr:uid="{37E17D7B-DA6B-4EDB-8BBB-24EC364F37A2}"/>
    <hyperlink ref="Q108" r:id="rId9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4E770E3B-F137-4178-BA12-744E8A9F25E0}"/>
    <hyperlink ref="Q30" r:id="rId9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32FFDD8A-33E5-4160-8F16-23CECFC013BF}"/>
    <hyperlink ref="Q110" r:id="rId9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E802846C-43BA-47EA-8060-5C8B00AAE6FE}"/>
    <hyperlink ref="Q31" r:id="rId9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098076BD-CC65-491B-AF2B-348F0A00BD28}"/>
    <hyperlink ref="Q25" r:id="rId9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92B1B58B-80F5-4B8B-87E8-0B9017E4D9BD}"/>
    <hyperlink ref="Q23" r:id="rId10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7D0C9C46-D9B6-4E05-9668-6BA30F9562CC}"/>
    <hyperlink ref="Q29" r:id="rId10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5954D1A9-47A1-4150-8F77-DEDB0BAC5B52}"/>
    <hyperlink ref="Q28" r:id="rId10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D24AFEE4-20D4-4B03-A55C-9246B3B0C43E}"/>
    <hyperlink ref="Q21" r:id="rId10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00A42C65-5359-402E-ABC5-289E2220A311}"/>
    <hyperlink ref="Q27" r:id="rId10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AE91E01E-1358-4542-AD0F-A94C9BFF658B}"/>
    <hyperlink ref="Q24" r:id="rId10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Atlantico%2FFOTOS%20EQUIPOS" xr:uid="{33CD8838-05E9-4E83-A6D3-AFB5F4A9D275}"/>
    <hyperlink ref="Q40" r:id="rId10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D907ED05-C30F-46FB-B9B0-4FE8FD915337}"/>
    <hyperlink ref="Q20" r:id="rId10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3FB0C964-EC37-4999-A7B9-1D0AE05ED1D2}"/>
    <hyperlink ref="Q39" r:id="rId10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19D4983E-5BE4-469F-8B88-C8D04577CCF9}"/>
    <hyperlink ref="Q43" r:id="rId10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9F06F56D-3133-4FB9-8129-2B4B14332633}"/>
    <hyperlink ref="Q34" r:id="rId11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4B64D8B9-0E65-4599-89AE-5BEF9816E29D}"/>
    <hyperlink ref="Q33" r:id="rId11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ABB3A7CF-0CED-4D13-BCC8-F9660A2D7F0D}"/>
    <hyperlink ref="Q32" r:id="rId11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6FF16B2F-7462-4839-A707-F281267F103C}"/>
    <hyperlink ref="Q22" r:id="rId11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B409ACCC-9CCA-4AD7-9631-876AE6A6DCB3}"/>
    <hyperlink ref="Q35" r:id="rId11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076A2916-2EA4-4473-A5E8-320A743CF927}"/>
    <hyperlink ref="Q37" r:id="rId11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929D7C47-6673-49A8-8578-EBC0D11DE85F}"/>
    <hyperlink ref="Q44" r:id="rId11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D2653C0C-8E8C-4420-8FA6-9366A9767730}"/>
    <hyperlink ref="Q36" r:id="rId11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CE71B6DC-6239-4485-B623-A2814818CE6D}"/>
    <hyperlink ref="Q38" r:id="rId11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012F83BB-F94B-4F8B-BCC4-DBCAE7C70EF0}"/>
    <hyperlink ref="Q19" r:id="rId11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arranquilla%20Filial" xr:uid="{6CE6B1F8-5EB7-48D8-8EA9-CAE9B5EF32D8}"/>
    <hyperlink ref="Q117" r:id="rId12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DYNATEL%20992200DP" xr:uid="{9C69A0CF-D776-4AFC-945B-1B1970CD9871}"/>
    <hyperlink ref="Q118" r:id="rId12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B200117039" xr:uid="{798F1FB7-EC9C-4378-AFB2-C1CF029DDA17}"/>
    <hyperlink ref="Q116" r:id="rId12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FUSIONADORA%20V03D20091062" xr:uid="{2853069F-4FA9-437E-A59B-0F9CB49319AB}"/>
    <hyperlink ref="Q112" r:id="rId12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88" xr:uid="{47FEF86A-C57B-49E9-917F-83D25E835102}"/>
    <hyperlink ref="Q115" r:id="rId12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76493" xr:uid="{233B636B-E3D3-43E5-871C-367D48246D4B}"/>
    <hyperlink ref="Q113" r:id="rId12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GREENLEE%20881303" xr:uid="{FB783C91-677A-40CE-AF15-72177EDE2352}"/>
    <hyperlink ref="Q107" r:id="rId12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Bolivar%2FOTDR%206200822296" xr:uid="{BEA5429E-E909-4617-B61E-54BDFE0B56BA}"/>
    <hyperlink ref="Q153" r:id="rId12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012603HSW" xr:uid="{0C801D1C-026C-4D03-9FFA-65EAA45B4464}"/>
    <hyperlink ref="Q154" r:id="rId12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17010437" xr:uid="{4D813E48-0722-41DE-BFCA-715F4C29CD53}"/>
    <hyperlink ref="Q155" r:id="rId12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Cesar%2F6200941848" xr:uid="{27BF2E64-642B-429B-B041-86E70B103264}"/>
    <hyperlink ref="Q209" r:id="rId13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Analizador%20de%20bucle%20004800YCW" xr:uid="{FD22DE8D-448D-48AB-863B-4CAFFAC08ECE}"/>
    <hyperlink ref="Q210" r:id="rId13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Dynatel%20025000BBW" xr:uid="{2D8867D7-68FB-461D-BF60-519238F20265}"/>
    <hyperlink ref="Q208" r:id="rId13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Empalmadora%20fusionadora%2012601019403" xr:uid="{CFB98D4C-AC7F-4F84-809B-2F4788B9A1DC}"/>
    <hyperlink ref="Q206" r:id="rId13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Guajira%2FOTDR%20425481" xr:uid="{2196B9FA-7DA7-411A-BCA3-18FA20F6F069}"/>
    <hyperlink ref="Q219" r:id="rId13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047015DW" xr:uid="{ADFFDF99-3704-460D-9FA7-6945A9C7CE23}"/>
    <hyperlink ref="Q215" r:id="rId13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0349001Z" xr:uid="{5D82F0F9-7C13-4E2D-A3D4-434B17687C85}"/>
    <hyperlink ref="Q213" r:id="rId13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8010336" xr:uid="{4EE4893E-E661-4F55-90BB-02DF7A0FE203}"/>
    <hyperlink ref="Q217" r:id="rId13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19011118" xr:uid="{553B2DCD-20DD-46F0-BB58-511593B35923}"/>
    <hyperlink ref="Q214" r:id="rId13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3689" xr:uid="{F3C73B81-4BB3-4C77-838B-1228B4481F78}"/>
    <hyperlink ref="Q212" r:id="rId13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6322" xr:uid="{6BC9FA36-A7CC-40BD-A05D-1FFC03A6C027}"/>
    <hyperlink ref="Q211" r:id="rId14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356" xr:uid="{370A56DA-8A09-44EF-8207-099CF55614F4}"/>
    <hyperlink ref="Q220" r:id="rId14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1100MC" xr:uid="{F59230A7-4FE5-4918-9402-FB0B832ABEA0}"/>
    <hyperlink ref="Q216" r:id="rId14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Magdalena%2F982300HP" xr:uid="{E8151B2F-EE26-452A-A6C9-C8C2CEAD6FC7}"/>
    <hyperlink ref="Q252" r:id="rId14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ERT%206200834528" xr:uid="{31645CEE-09E5-4AB4-ACA5-C9CB353D2E31}"/>
    <hyperlink ref="Q254" r:id="rId14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ANALIZADOR%20BUCLE%20CU%200521000H" xr:uid="{C5579247-C587-4C6D-8730-F3035110DF37}"/>
    <hyperlink ref="Q253" r:id="rId14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co%20Tulio%20Gale%20Gutierrez%2FSan%20Andres%2FFOTOS%20EQUIPOS%2FFUSIONADORA%20DE%20FO%2036716" xr:uid="{9A84B265-27DE-4F63-9240-008707B50DD3}"/>
    <hyperlink ref="Q76" r:id="rId14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08H181128563" xr:uid="{2CCFD7FB-D53A-4DF6-987A-E8E137BB87D5}"/>
    <hyperlink ref="Q53" r:id="rId14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%2019114117" xr:uid="{476C842D-1DEB-4F8A-80FE-530BF73337B1}"/>
    <hyperlink ref="Q63" r:id="rId14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079323" xr:uid="{DA0848FE-8C5A-4927-AF76-96E7748EAFEE}"/>
    <hyperlink ref="Q62" r:id="rId14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2708190323" xr:uid="{848317FC-01AC-4AA4-BB4D-C09D7C750370}"/>
    <hyperlink ref="Q58" r:id="rId15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3091013109135" xr:uid="{9EE88DD4-832D-44CE-8F13-171EBE33E356}"/>
    <hyperlink ref="Q49" r:id="rId15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FUSIONADORA%20DE%20FIBRA%20SERIAL%208A35082618090008%2FFUSIONADORA%20DE%20FIBRA%20SERIAL%203074" xr:uid="{C626CE3B-1E5A-4B43-8334-FB0747045353}"/>
    <hyperlink ref="Q57" r:id="rId15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20509" xr:uid="{993BB5D0-53D4-4905-89C6-182CD80E1221}"/>
    <hyperlink ref="Q75" r:id="rId15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1606165" xr:uid="{24396854-FAEC-4168-9151-64EE81CF347E}"/>
    <hyperlink ref="Q81" r:id="rId15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26857%20%2030081" xr:uid="{1EAE81A1-F8BC-459D-8E71-47A5F1B6C32D}"/>
    <hyperlink ref="Q82" r:id="rId15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26857%20%2030081" xr:uid="{AE52F1D6-06FB-4669-863A-725D89ADFA09}"/>
    <hyperlink ref="Q65" r:id="rId15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594318" xr:uid="{4728A866-FA5F-4BF6-91D4-6D01E1768C5E}"/>
    <hyperlink ref="Q60" r:id="rId15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190" xr:uid="{64459A1C-01B9-4179-A1BF-E03D1A05A0B4}"/>
    <hyperlink ref="Q61" r:id="rId15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601651550469200" xr:uid="{DB4752B0-6ADB-4760-A292-9043D2033EDC}"/>
    <hyperlink ref="Q77" r:id="rId15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6887" xr:uid="{2615F7A1-9A0B-4965-A907-0DFB513E6D1A}"/>
    <hyperlink ref="Q59" r:id="rId16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789568" xr:uid="{3E1DAC76-7884-473F-A6F1-8FBC4EDC8056}"/>
    <hyperlink ref="R55" r:id="rId16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Comfica%2FOTDR%20SERIAL%20808179" xr:uid="{23B6F126-7A7A-42BC-82AB-0C63E0F51166}"/>
    <hyperlink ref="Q166" r:id="rId16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052041Z" xr:uid="{E0850F87-0138-421C-9C30-DEBCDCFA9ADC}"/>
    <hyperlink ref="Q165" r:id="rId16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2460039" xr:uid="{4533DABD-3991-46FE-934F-8A8802D5F016}"/>
    <hyperlink ref="Q167" r:id="rId164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4130053" xr:uid="{6D663B94-4E1F-46B6-9C77-F52E1E9FB319}"/>
    <hyperlink ref="Q168" r:id="rId165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0616003D" xr:uid="{DCA37A57-5EC4-4F0B-95A5-16A010383280}"/>
    <hyperlink ref="Q169" r:id="rId166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Bogot%C3%A1%2FDYNATEL%5F984700F6" xr:uid="{C5B0B672-2C35-410E-8791-13310EB9E81A}"/>
    <hyperlink ref="Q184" r:id="rId167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2010131" xr:uid="{38C115A2-8094-49F2-94A0-91DD0B591A8D}"/>
    <hyperlink ref="Q185" r:id="rId168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AA431807011013" xr:uid="{D40C0FB9-704D-474F-B1DB-65DE0FDD3717}"/>
    <hyperlink ref="Q187" r:id="rId169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FUSIONADORA%20DE%20FO%5FV03L19115080" xr:uid="{8842AE31-3480-473A-A071-83D4BE16AB84}"/>
    <hyperlink ref="Q186" r:id="rId170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Martin%20Emilio%20Gacha%20Hoyos%2FCundinamarca%2FOTDR%5F18159152" xr:uid="{348C0B95-4FD0-4D89-A2BC-86433AA5D7CF}"/>
    <hyperlink ref="Q120" r:id="rId171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0403CTW" xr:uid="{D8E50988-7C5F-434B-9999-4E0E08703199}"/>
    <hyperlink ref="Q127" r:id="rId172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001059" xr:uid="{48C3297C-FB1B-4D19-8394-E9517C229F6A}"/>
    <hyperlink ref="Q122" r:id="rId173" display="https://telefonicacorp.sharepoint.com/sites/CALIBRACIONDEEQUIPOS.TMHNH/Shared%20Documents/Forms/AllItems.aspx?FolderCTID=0x01200009AC21879B63114498BF7ED828DBDBCD&amp;viewid=d14cd55e%2D15a8%2D465c%2Da6a6%2De5026cdf4284&amp;id=%2Fsites%2FCALIBRACIONDEEQUIPOS%2ETMHNH%2FShared%20Documents%2FGeneral%2FAuditorias%20Calibracion%20Equipos%202021%2FAuditoria%201Q%2FJose%20Luis%20Ramirez%20Cortes%2FBoyaca%2F993300Y2" xr:uid="{E974087D-5638-44F8-9B04-9CF4ADE122BF}"/>
  </hyperlinks>
  <pageMargins left="0.7" right="0.7" top="0.75" bottom="0.75" header="0.3" footer="0.3"/>
  <pageSetup paperSize="9" orientation="portrait" horizontalDpi="300" verticalDpi="300" r:id="rId174"/>
  <tableParts count="1">
    <tablePart r:id="rId175"/>
  </tableParts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0B872157-DB8F-4D0E-861E-C1F2B285E453}">
          <x14:formula1>
            <xm:f>'C:\Users\drmuozga\Desktop\GESTION\1. OPERACION\1. OPERACION\4. INFORMES\Calibracion Equipo\[FORMULARIO CALIBRACION EQUIPOS.xlsm]INTERNO'!#REF!</xm:f>
          </x14:formula1>
          <xm:sqref>D2:D4</xm:sqref>
        </x14:dataValidation>
        <x14:dataValidation type="list" allowBlank="1" showInputMessage="1" showErrorMessage="1" xr:uid="{AA0CD314-8EB6-4F73-86D9-668230244C37}">
          <x14:formula1>
            <xm:f>INTERNO!$A$2:$A$10</xm:f>
          </x14:formula1>
          <xm:sqref>A2:A318</xm:sqref>
        </x14:dataValidation>
        <x14:dataValidation type="list" allowBlank="1" showInputMessage="1" showErrorMessage="1" xr:uid="{4E239FF3-37FD-4894-98FF-55F54F5FD9B4}">
          <x14:formula1>
            <xm:f>INTERNO!$B$2:$B$35</xm:f>
          </x14:formula1>
          <xm:sqref>B2:B318</xm:sqref>
        </x14:dataValidation>
        <x14:dataValidation type="list" allowBlank="1" showInputMessage="1" showErrorMessage="1" xr:uid="{87BD4697-5131-48B9-ACDF-B896D7F782CA}">
          <x14:formula1>
            <xm:f>INTERNO!$C$2:$C$7</xm:f>
          </x14:formula1>
          <xm:sqref>C2:C318</xm:sqref>
        </x14:dataValidation>
        <x14:dataValidation type="list" allowBlank="1" showInputMessage="1" showErrorMessage="1" xr:uid="{899D8BDF-09B6-4657-874F-69A1E0282843}">
          <x14:formula1>
            <xm:f>INTERNO!$G$2:$G$3</xm:f>
          </x14:formula1>
          <xm:sqref>H2:H318</xm:sqref>
        </x14:dataValidation>
        <x14:dataValidation type="list" allowBlank="1" showInputMessage="1" showErrorMessage="1" xr:uid="{626FACD4-A346-40C9-A9CB-2E67F3CF70C2}">
          <x14:formula1>
            <xm:f>INTERNO!$E$2:$E$4</xm:f>
          </x14:formula1>
          <xm:sqref>I2:I318</xm:sqref>
        </x14:dataValidation>
        <x14:dataValidation type="list" allowBlank="1" showInputMessage="1" showErrorMessage="1" xr:uid="{D8124F24-CA02-45CE-9A1B-CE4547A5FF9D}">
          <x14:formula1>
            <xm:f>INTERNO!$F$2:$F$7</xm:f>
          </x14:formula1>
          <xm:sqref>J2:J318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E9C0E-FB2C-40F7-927C-9607D4801448}">
  <sheetPr>
    <tabColor rgb="FF00B0F0"/>
  </sheetPr>
  <dimension ref="A1:A53"/>
  <sheetViews>
    <sheetView showGridLines="0" workbookViewId="0"/>
  </sheetViews>
  <sheetFormatPr baseColWidth="10" defaultRowHeight="14.4" x14ac:dyDescent="0.3"/>
  <cols>
    <col min="1" max="1" width="35.33203125" bestFit="1" customWidth="1"/>
  </cols>
  <sheetData>
    <row r="1" spans="1:1" x14ac:dyDescent="0.3">
      <c r="A1" s="65" t="s">
        <v>3</v>
      </c>
    </row>
    <row r="2" spans="1:1" x14ac:dyDescent="0.3">
      <c r="A2" t="s">
        <v>22</v>
      </c>
    </row>
    <row r="3" spans="1:1" x14ac:dyDescent="0.3">
      <c r="A3" t="s">
        <v>190</v>
      </c>
    </row>
    <row r="4" spans="1:1" x14ac:dyDescent="0.3">
      <c r="A4" t="s">
        <v>129</v>
      </c>
    </row>
    <row r="5" spans="1:1" x14ac:dyDescent="0.3">
      <c r="A5" t="s">
        <v>17</v>
      </c>
    </row>
    <row r="6" spans="1:1" x14ac:dyDescent="0.3">
      <c r="A6" t="s">
        <v>95</v>
      </c>
    </row>
    <row r="7" spans="1:1" x14ac:dyDescent="0.3">
      <c r="A7" t="s">
        <v>41</v>
      </c>
    </row>
    <row r="8" spans="1:1" x14ac:dyDescent="0.3">
      <c r="A8" t="s">
        <v>130</v>
      </c>
    </row>
    <row r="9" spans="1:1" x14ac:dyDescent="0.3">
      <c r="A9" t="s">
        <v>155</v>
      </c>
    </row>
    <row r="10" spans="1:1" x14ac:dyDescent="0.3">
      <c r="A10" t="s">
        <v>96</v>
      </c>
    </row>
    <row r="11" spans="1:1" x14ac:dyDescent="0.3">
      <c r="A11" t="s">
        <v>158</v>
      </c>
    </row>
    <row r="12" spans="1:1" x14ac:dyDescent="0.3">
      <c r="A12" t="s">
        <v>83</v>
      </c>
    </row>
    <row r="13" spans="1:1" x14ac:dyDescent="0.3">
      <c r="A13" t="s">
        <v>277</v>
      </c>
    </row>
    <row r="14" spans="1:1" x14ac:dyDescent="0.3">
      <c r="A14" t="s">
        <v>195</v>
      </c>
    </row>
    <row r="15" spans="1:1" x14ac:dyDescent="0.3">
      <c r="A15" t="s">
        <v>51</v>
      </c>
    </row>
    <row r="16" spans="1:1" x14ac:dyDescent="0.3">
      <c r="A16" t="s">
        <v>138</v>
      </c>
    </row>
    <row r="17" spans="1:1" x14ac:dyDescent="0.3">
      <c r="A17" t="s">
        <v>109</v>
      </c>
    </row>
    <row r="18" spans="1:1" x14ac:dyDescent="0.3">
      <c r="A18" t="s">
        <v>127</v>
      </c>
    </row>
    <row r="19" spans="1:1" x14ac:dyDescent="0.3">
      <c r="A19" t="s">
        <v>232</v>
      </c>
    </row>
    <row r="20" spans="1:1" x14ac:dyDescent="0.3">
      <c r="A20" t="s">
        <v>295</v>
      </c>
    </row>
    <row r="21" spans="1:1" x14ac:dyDescent="0.3">
      <c r="A21" t="s">
        <v>136</v>
      </c>
    </row>
    <row r="22" spans="1:1" x14ac:dyDescent="0.3">
      <c r="A22" t="s">
        <v>128</v>
      </c>
    </row>
    <row r="23" spans="1:1" x14ac:dyDescent="0.3">
      <c r="A23" t="s">
        <v>226</v>
      </c>
    </row>
    <row r="24" spans="1:1" x14ac:dyDescent="0.3">
      <c r="A24" t="s">
        <v>132</v>
      </c>
    </row>
    <row r="25" spans="1:1" x14ac:dyDescent="0.3">
      <c r="A25" t="s">
        <v>234</v>
      </c>
    </row>
    <row r="26" spans="1:1" x14ac:dyDescent="0.3">
      <c r="A26" t="s">
        <v>100</v>
      </c>
    </row>
    <row r="27" spans="1:1" x14ac:dyDescent="0.3">
      <c r="A27" t="s">
        <v>211</v>
      </c>
    </row>
    <row r="28" spans="1:1" x14ac:dyDescent="0.3">
      <c r="A28" t="s">
        <v>177</v>
      </c>
    </row>
    <row r="29" spans="1:1" x14ac:dyDescent="0.3">
      <c r="A29" t="s">
        <v>220</v>
      </c>
    </row>
    <row r="30" spans="1:1" x14ac:dyDescent="0.3">
      <c r="A30" t="s">
        <v>289</v>
      </c>
    </row>
    <row r="31" spans="1:1" x14ac:dyDescent="0.3">
      <c r="A31" t="s">
        <v>148</v>
      </c>
    </row>
    <row r="32" spans="1:1" x14ac:dyDescent="0.3">
      <c r="A32" t="s">
        <v>159</v>
      </c>
    </row>
    <row r="33" spans="1:1" x14ac:dyDescent="0.3">
      <c r="A33" t="s">
        <v>165</v>
      </c>
    </row>
    <row r="34" spans="1:1" x14ac:dyDescent="0.3">
      <c r="A34" t="s">
        <v>157</v>
      </c>
    </row>
    <row r="35" spans="1:1" x14ac:dyDescent="0.3">
      <c r="A35" t="s">
        <v>93</v>
      </c>
    </row>
    <row r="36" spans="1:1" x14ac:dyDescent="0.3">
      <c r="A36" t="s">
        <v>162</v>
      </c>
    </row>
    <row r="37" spans="1:1" x14ac:dyDescent="0.3">
      <c r="A37" t="s">
        <v>125</v>
      </c>
    </row>
    <row r="38" spans="1:1" x14ac:dyDescent="0.3">
      <c r="A38" t="s">
        <v>66</v>
      </c>
    </row>
    <row r="39" spans="1:1" x14ac:dyDescent="0.3">
      <c r="A39" t="s">
        <v>143</v>
      </c>
    </row>
    <row r="40" spans="1:1" x14ac:dyDescent="0.3">
      <c r="A40" t="s">
        <v>85</v>
      </c>
    </row>
    <row r="41" spans="1:1" x14ac:dyDescent="0.3">
      <c r="A41" t="s">
        <v>87</v>
      </c>
    </row>
    <row r="42" spans="1:1" x14ac:dyDescent="0.3">
      <c r="A42" t="s">
        <v>131</v>
      </c>
    </row>
    <row r="43" spans="1:1" x14ac:dyDescent="0.3">
      <c r="A43" t="s">
        <v>215</v>
      </c>
    </row>
    <row r="44" spans="1:1" x14ac:dyDescent="0.3">
      <c r="A44" t="s">
        <v>133</v>
      </c>
    </row>
    <row r="45" spans="1:1" x14ac:dyDescent="0.3">
      <c r="A45" t="s">
        <v>286</v>
      </c>
    </row>
    <row r="46" spans="1:1" x14ac:dyDescent="0.3">
      <c r="A46" t="s">
        <v>229</v>
      </c>
    </row>
    <row r="47" spans="1:1" x14ac:dyDescent="0.3">
      <c r="A47" t="s">
        <v>150</v>
      </c>
    </row>
    <row r="48" spans="1:1" x14ac:dyDescent="0.3">
      <c r="A48" t="s">
        <v>184</v>
      </c>
    </row>
    <row r="49" spans="1:1" x14ac:dyDescent="0.3">
      <c r="A49" t="s">
        <v>251</v>
      </c>
    </row>
    <row r="50" spans="1:1" x14ac:dyDescent="0.3">
      <c r="A50" t="s">
        <v>265</v>
      </c>
    </row>
    <row r="51" spans="1:1" x14ac:dyDescent="0.3">
      <c r="A51" t="s">
        <v>266</v>
      </c>
    </row>
    <row r="52" spans="1:1" x14ac:dyDescent="0.3">
      <c r="A52" t="s">
        <v>299</v>
      </c>
    </row>
    <row r="53" spans="1:1" x14ac:dyDescent="0.3">
      <c r="A53" s="17" t="s">
        <v>315</v>
      </c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323E-02A1-461E-9F81-5A120118EB77}">
  <sheetPr>
    <tabColor rgb="FF00B0F0"/>
  </sheetPr>
  <dimension ref="A3:B65"/>
  <sheetViews>
    <sheetView showGridLines="0" workbookViewId="0"/>
  </sheetViews>
  <sheetFormatPr baseColWidth="10" defaultRowHeight="14.4" x14ac:dyDescent="0.3"/>
  <cols>
    <col min="1" max="1" width="35.33203125" bestFit="1" customWidth="1"/>
    <col min="2" max="2" width="20.5546875" bestFit="1" customWidth="1"/>
  </cols>
  <sheetData>
    <row r="3" spans="1:2" x14ac:dyDescent="0.3">
      <c r="A3" s="65" t="s">
        <v>3</v>
      </c>
      <c r="B3" s="65" t="s">
        <v>2</v>
      </c>
    </row>
    <row r="4" spans="1:2" x14ac:dyDescent="0.3">
      <c r="A4" t="s">
        <v>22</v>
      </c>
      <c r="B4" t="s">
        <v>188</v>
      </c>
    </row>
    <row r="5" spans="1:2" x14ac:dyDescent="0.3">
      <c r="A5" t="s">
        <v>22</v>
      </c>
      <c r="B5" t="s">
        <v>64</v>
      </c>
    </row>
    <row r="6" spans="1:2" x14ac:dyDescent="0.3">
      <c r="A6" t="s">
        <v>190</v>
      </c>
      <c r="B6" t="s">
        <v>82</v>
      </c>
    </row>
    <row r="7" spans="1:2" x14ac:dyDescent="0.3">
      <c r="A7" t="s">
        <v>129</v>
      </c>
      <c r="B7" t="s">
        <v>82</v>
      </c>
    </row>
    <row r="8" spans="1:2" x14ac:dyDescent="0.3">
      <c r="A8" t="s">
        <v>17</v>
      </c>
      <c r="B8" t="s">
        <v>64</v>
      </c>
    </row>
    <row r="9" spans="1:2" x14ac:dyDescent="0.3">
      <c r="A9" t="s">
        <v>95</v>
      </c>
      <c r="B9" t="s">
        <v>64</v>
      </c>
    </row>
    <row r="10" spans="1:2" x14ac:dyDescent="0.3">
      <c r="A10" t="s">
        <v>41</v>
      </c>
      <c r="B10" t="s">
        <v>98</v>
      </c>
    </row>
    <row r="11" spans="1:2" x14ac:dyDescent="0.3">
      <c r="A11" t="s">
        <v>130</v>
      </c>
      <c r="B11" t="s">
        <v>82</v>
      </c>
    </row>
    <row r="12" spans="1:2" x14ac:dyDescent="0.3">
      <c r="A12" t="s">
        <v>130</v>
      </c>
      <c r="B12" t="s">
        <v>64</v>
      </c>
    </row>
    <row r="13" spans="1:2" x14ac:dyDescent="0.3">
      <c r="A13" t="s">
        <v>155</v>
      </c>
      <c r="B13" t="s">
        <v>64</v>
      </c>
    </row>
    <row r="14" spans="1:2" x14ac:dyDescent="0.3">
      <c r="A14" t="s">
        <v>96</v>
      </c>
      <c r="B14" t="s">
        <v>64</v>
      </c>
    </row>
    <row r="15" spans="1:2" x14ac:dyDescent="0.3">
      <c r="A15" t="s">
        <v>158</v>
      </c>
      <c r="B15" t="s">
        <v>64</v>
      </c>
    </row>
    <row r="16" spans="1:2" x14ac:dyDescent="0.3">
      <c r="A16" t="s">
        <v>83</v>
      </c>
      <c r="B16" t="s">
        <v>82</v>
      </c>
    </row>
    <row r="17" spans="1:2" x14ac:dyDescent="0.3">
      <c r="A17" t="s">
        <v>277</v>
      </c>
      <c r="B17" t="s">
        <v>64</v>
      </c>
    </row>
    <row r="18" spans="1:2" x14ac:dyDescent="0.3">
      <c r="A18" t="s">
        <v>195</v>
      </c>
      <c r="B18" t="s">
        <v>82</v>
      </c>
    </row>
    <row r="19" spans="1:2" x14ac:dyDescent="0.3">
      <c r="A19" t="s">
        <v>51</v>
      </c>
      <c r="B19" t="s">
        <v>82</v>
      </c>
    </row>
    <row r="20" spans="1:2" x14ac:dyDescent="0.3">
      <c r="A20" t="s">
        <v>138</v>
      </c>
      <c r="B20" t="s">
        <v>82</v>
      </c>
    </row>
    <row r="21" spans="1:2" x14ac:dyDescent="0.3">
      <c r="A21" t="s">
        <v>109</v>
      </c>
      <c r="B21" t="s">
        <v>64</v>
      </c>
    </row>
    <row r="22" spans="1:2" x14ac:dyDescent="0.3">
      <c r="A22" t="s">
        <v>127</v>
      </c>
      <c r="B22" t="s">
        <v>82</v>
      </c>
    </row>
    <row r="23" spans="1:2" x14ac:dyDescent="0.3">
      <c r="A23" t="s">
        <v>232</v>
      </c>
      <c r="B23" t="s">
        <v>82</v>
      </c>
    </row>
    <row r="24" spans="1:2" x14ac:dyDescent="0.3">
      <c r="A24" t="s">
        <v>295</v>
      </c>
      <c r="B24" t="s">
        <v>149</v>
      </c>
    </row>
    <row r="25" spans="1:2" x14ac:dyDescent="0.3">
      <c r="A25" t="s">
        <v>136</v>
      </c>
      <c r="B25" t="s">
        <v>82</v>
      </c>
    </row>
    <row r="26" spans="1:2" x14ac:dyDescent="0.3">
      <c r="A26" t="s">
        <v>128</v>
      </c>
      <c r="B26" t="s">
        <v>82</v>
      </c>
    </row>
    <row r="27" spans="1:2" x14ac:dyDescent="0.3">
      <c r="A27" t="s">
        <v>128</v>
      </c>
      <c r="B27" t="s">
        <v>64</v>
      </c>
    </row>
    <row r="28" spans="1:2" x14ac:dyDescent="0.3">
      <c r="A28" t="s">
        <v>226</v>
      </c>
      <c r="B28" t="s">
        <v>64</v>
      </c>
    </row>
    <row r="29" spans="1:2" x14ac:dyDescent="0.3">
      <c r="A29" t="s">
        <v>132</v>
      </c>
      <c r="B29" t="s">
        <v>82</v>
      </c>
    </row>
    <row r="30" spans="1:2" x14ac:dyDescent="0.3">
      <c r="A30" t="s">
        <v>234</v>
      </c>
      <c r="B30" t="s">
        <v>82</v>
      </c>
    </row>
    <row r="31" spans="1:2" x14ac:dyDescent="0.3">
      <c r="A31" t="s">
        <v>234</v>
      </c>
      <c r="B31" t="s">
        <v>64</v>
      </c>
    </row>
    <row r="32" spans="1:2" x14ac:dyDescent="0.3">
      <c r="A32" t="s">
        <v>100</v>
      </c>
      <c r="B32" t="s">
        <v>149</v>
      </c>
    </row>
    <row r="33" spans="1:2" x14ac:dyDescent="0.3">
      <c r="A33" t="s">
        <v>211</v>
      </c>
      <c r="B33" t="s">
        <v>149</v>
      </c>
    </row>
    <row r="34" spans="1:2" x14ac:dyDescent="0.3">
      <c r="A34" t="s">
        <v>177</v>
      </c>
      <c r="B34" t="s">
        <v>82</v>
      </c>
    </row>
    <row r="35" spans="1:2" x14ac:dyDescent="0.3">
      <c r="A35" t="s">
        <v>220</v>
      </c>
      <c r="B35" t="s">
        <v>149</v>
      </c>
    </row>
    <row r="36" spans="1:2" x14ac:dyDescent="0.3">
      <c r="A36" t="s">
        <v>289</v>
      </c>
      <c r="B36" t="s">
        <v>64</v>
      </c>
    </row>
    <row r="37" spans="1:2" x14ac:dyDescent="0.3">
      <c r="A37" t="s">
        <v>148</v>
      </c>
      <c r="B37" t="s">
        <v>64</v>
      </c>
    </row>
    <row r="38" spans="1:2" x14ac:dyDescent="0.3">
      <c r="A38" t="s">
        <v>159</v>
      </c>
      <c r="B38" t="s">
        <v>64</v>
      </c>
    </row>
    <row r="39" spans="1:2" x14ac:dyDescent="0.3">
      <c r="A39" t="s">
        <v>165</v>
      </c>
      <c r="B39" t="s">
        <v>64</v>
      </c>
    </row>
    <row r="40" spans="1:2" x14ac:dyDescent="0.3">
      <c r="A40" t="s">
        <v>157</v>
      </c>
      <c r="B40" t="s">
        <v>64</v>
      </c>
    </row>
    <row r="41" spans="1:2" x14ac:dyDescent="0.3">
      <c r="A41" t="s">
        <v>93</v>
      </c>
      <c r="B41" t="s">
        <v>64</v>
      </c>
    </row>
    <row r="42" spans="1:2" x14ac:dyDescent="0.3">
      <c r="A42" t="s">
        <v>162</v>
      </c>
      <c r="B42" t="s">
        <v>64</v>
      </c>
    </row>
    <row r="43" spans="1:2" x14ac:dyDescent="0.3">
      <c r="A43" t="s">
        <v>125</v>
      </c>
      <c r="B43" t="s">
        <v>82</v>
      </c>
    </row>
    <row r="44" spans="1:2" x14ac:dyDescent="0.3">
      <c r="A44" t="s">
        <v>125</v>
      </c>
      <c r="B44" t="s">
        <v>64</v>
      </c>
    </row>
    <row r="45" spans="1:2" x14ac:dyDescent="0.3">
      <c r="A45" t="s">
        <v>66</v>
      </c>
      <c r="B45" t="s">
        <v>98</v>
      </c>
    </row>
    <row r="46" spans="1:2" x14ac:dyDescent="0.3">
      <c r="A46" t="s">
        <v>66</v>
      </c>
      <c r="B46" t="s">
        <v>82</v>
      </c>
    </row>
    <row r="47" spans="1:2" x14ac:dyDescent="0.3">
      <c r="A47" t="s">
        <v>66</v>
      </c>
      <c r="B47" t="s">
        <v>64</v>
      </c>
    </row>
    <row r="48" spans="1:2" x14ac:dyDescent="0.3">
      <c r="A48" t="s">
        <v>143</v>
      </c>
      <c r="B48" t="s">
        <v>82</v>
      </c>
    </row>
    <row r="49" spans="1:2" x14ac:dyDescent="0.3">
      <c r="A49" t="s">
        <v>85</v>
      </c>
      <c r="B49" t="s">
        <v>82</v>
      </c>
    </row>
    <row r="50" spans="1:2" x14ac:dyDescent="0.3">
      <c r="A50" t="s">
        <v>85</v>
      </c>
      <c r="B50" t="s">
        <v>64</v>
      </c>
    </row>
    <row r="51" spans="1:2" x14ac:dyDescent="0.3">
      <c r="A51" t="s">
        <v>87</v>
      </c>
      <c r="B51" t="s">
        <v>82</v>
      </c>
    </row>
    <row r="52" spans="1:2" x14ac:dyDescent="0.3">
      <c r="A52" t="s">
        <v>131</v>
      </c>
      <c r="B52" t="s">
        <v>82</v>
      </c>
    </row>
    <row r="53" spans="1:2" x14ac:dyDescent="0.3">
      <c r="A53" t="s">
        <v>215</v>
      </c>
      <c r="B53" t="s">
        <v>82</v>
      </c>
    </row>
    <row r="54" spans="1:2" x14ac:dyDescent="0.3">
      <c r="A54" t="s">
        <v>133</v>
      </c>
      <c r="B54" t="s">
        <v>82</v>
      </c>
    </row>
    <row r="55" spans="1:2" x14ac:dyDescent="0.3">
      <c r="A55" t="s">
        <v>286</v>
      </c>
      <c r="B55" t="s">
        <v>149</v>
      </c>
    </row>
    <row r="56" spans="1:2" x14ac:dyDescent="0.3">
      <c r="A56" t="s">
        <v>229</v>
      </c>
      <c r="B56" t="s">
        <v>98</v>
      </c>
    </row>
    <row r="57" spans="1:2" x14ac:dyDescent="0.3">
      <c r="A57" t="s">
        <v>150</v>
      </c>
      <c r="B57" t="s">
        <v>149</v>
      </c>
    </row>
    <row r="58" spans="1:2" x14ac:dyDescent="0.3">
      <c r="A58" t="s">
        <v>184</v>
      </c>
      <c r="B58" t="s">
        <v>82</v>
      </c>
    </row>
    <row r="59" spans="1:2" x14ac:dyDescent="0.3">
      <c r="A59" t="s">
        <v>184</v>
      </c>
      <c r="B59" t="s">
        <v>64</v>
      </c>
    </row>
    <row r="60" spans="1:2" x14ac:dyDescent="0.3">
      <c r="A60" t="s">
        <v>251</v>
      </c>
      <c r="B60" t="s">
        <v>82</v>
      </c>
    </row>
    <row r="61" spans="1:2" x14ac:dyDescent="0.3">
      <c r="A61" t="s">
        <v>265</v>
      </c>
      <c r="B61" t="s">
        <v>64</v>
      </c>
    </row>
    <row r="62" spans="1:2" x14ac:dyDescent="0.3">
      <c r="A62" t="s">
        <v>266</v>
      </c>
      <c r="B62" t="s">
        <v>188</v>
      </c>
    </row>
    <row r="63" spans="1:2" x14ac:dyDescent="0.3">
      <c r="A63" t="s">
        <v>266</v>
      </c>
      <c r="B63" t="s">
        <v>64</v>
      </c>
    </row>
    <row r="64" spans="1:2" x14ac:dyDescent="0.3">
      <c r="A64" t="s">
        <v>299</v>
      </c>
      <c r="B64" t="s">
        <v>64</v>
      </c>
    </row>
    <row r="65" spans="1:2" x14ac:dyDescent="0.3">
      <c r="A65" s="17" t="s">
        <v>315</v>
      </c>
      <c r="B65" s="17"/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1634C-778A-4F26-9179-6D9416F94270}">
  <sheetPr>
    <tabColor rgb="FF00B0F0"/>
  </sheetPr>
  <dimension ref="A3:F65"/>
  <sheetViews>
    <sheetView showGridLines="0" workbookViewId="0"/>
  </sheetViews>
  <sheetFormatPr baseColWidth="10" defaultRowHeight="14.4" x14ac:dyDescent="0.3"/>
  <cols>
    <col min="1" max="1" width="35.33203125" bestFit="1" customWidth="1"/>
    <col min="2" max="2" width="20.5546875" bestFit="1" customWidth="1"/>
    <col min="5" max="5" width="20.5546875" bestFit="1" customWidth="1"/>
  </cols>
  <sheetData>
    <row r="3" spans="1:6" x14ac:dyDescent="0.3">
      <c r="A3" s="65" t="s">
        <v>3</v>
      </c>
      <c r="B3" s="65" t="s">
        <v>2</v>
      </c>
      <c r="C3" s="85" t="s">
        <v>336</v>
      </c>
      <c r="E3" s="85" t="s">
        <v>2</v>
      </c>
      <c r="F3" s="85" t="s">
        <v>336</v>
      </c>
    </row>
    <row r="4" spans="1:6" x14ac:dyDescent="0.3">
      <c r="A4" t="s">
        <v>22</v>
      </c>
      <c r="B4" t="s">
        <v>188</v>
      </c>
      <c r="C4" s="83" t="str">
        <f t="shared" ref="C4:C35" si="0">VLOOKUP(B4,$E$4:$F$8,2,)</f>
        <v>COBRE</v>
      </c>
      <c r="E4" s="83" t="s">
        <v>188</v>
      </c>
      <c r="F4" s="83" t="s">
        <v>334</v>
      </c>
    </row>
    <row r="5" spans="1:6" x14ac:dyDescent="0.3">
      <c r="A5" t="s">
        <v>22</v>
      </c>
      <c r="B5" t="s">
        <v>64</v>
      </c>
      <c r="C5" s="83" t="str">
        <f t="shared" si="0"/>
        <v>FIBRA</v>
      </c>
      <c r="E5" s="83" t="s">
        <v>98</v>
      </c>
      <c r="F5" s="83" t="s">
        <v>334</v>
      </c>
    </row>
    <row r="6" spans="1:6" x14ac:dyDescent="0.3">
      <c r="A6" t="s">
        <v>190</v>
      </c>
      <c r="B6" t="s">
        <v>82</v>
      </c>
      <c r="C6" s="83" t="str">
        <f t="shared" si="0"/>
        <v>FIBRA</v>
      </c>
      <c r="E6" s="83" t="s">
        <v>82</v>
      </c>
      <c r="F6" s="83" t="s">
        <v>335</v>
      </c>
    </row>
    <row r="7" spans="1:6" x14ac:dyDescent="0.3">
      <c r="A7" t="s">
        <v>129</v>
      </c>
      <c r="B7" t="s">
        <v>82</v>
      </c>
      <c r="C7" s="83" t="str">
        <f t="shared" si="0"/>
        <v>FIBRA</v>
      </c>
      <c r="E7" s="83" t="s">
        <v>149</v>
      </c>
      <c r="F7" s="83" t="s">
        <v>334</v>
      </c>
    </row>
    <row r="8" spans="1:6" x14ac:dyDescent="0.3">
      <c r="A8" t="s">
        <v>17</v>
      </c>
      <c r="B8" t="s">
        <v>64</v>
      </c>
      <c r="C8" s="83" t="str">
        <f t="shared" si="0"/>
        <v>FIBRA</v>
      </c>
      <c r="E8" s="83" t="s">
        <v>64</v>
      </c>
      <c r="F8" s="83" t="s">
        <v>335</v>
      </c>
    </row>
    <row r="9" spans="1:6" x14ac:dyDescent="0.3">
      <c r="A9" t="s">
        <v>95</v>
      </c>
      <c r="B9" t="s">
        <v>64</v>
      </c>
      <c r="C9" s="83" t="str">
        <f t="shared" si="0"/>
        <v>FIBRA</v>
      </c>
    </row>
    <row r="10" spans="1:6" x14ac:dyDescent="0.3">
      <c r="A10" t="s">
        <v>41</v>
      </c>
      <c r="B10" t="s">
        <v>98</v>
      </c>
      <c r="C10" s="83" t="str">
        <f t="shared" si="0"/>
        <v>COBRE</v>
      </c>
    </row>
    <row r="11" spans="1:6" x14ac:dyDescent="0.3">
      <c r="A11" t="s">
        <v>130</v>
      </c>
      <c r="B11" t="s">
        <v>82</v>
      </c>
      <c r="C11" s="83" t="str">
        <f t="shared" si="0"/>
        <v>FIBRA</v>
      </c>
    </row>
    <row r="12" spans="1:6" x14ac:dyDescent="0.3">
      <c r="A12" t="s">
        <v>130</v>
      </c>
      <c r="B12" t="s">
        <v>64</v>
      </c>
      <c r="C12" s="83" t="str">
        <f t="shared" si="0"/>
        <v>FIBRA</v>
      </c>
    </row>
    <row r="13" spans="1:6" x14ac:dyDescent="0.3">
      <c r="A13" t="s">
        <v>155</v>
      </c>
      <c r="B13" t="s">
        <v>64</v>
      </c>
      <c r="C13" s="83" t="str">
        <f t="shared" si="0"/>
        <v>FIBRA</v>
      </c>
    </row>
    <row r="14" spans="1:6" x14ac:dyDescent="0.3">
      <c r="A14" t="s">
        <v>96</v>
      </c>
      <c r="B14" t="s">
        <v>64</v>
      </c>
      <c r="C14" s="83" t="str">
        <f t="shared" si="0"/>
        <v>FIBRA</v>
      </c>
    </row>
    <row r="15" spans="1:6" x14ac:dyDescent="0.3">
      <c r="A15" t="s">
        <v>158</v>
      </c>
      <c r="B15" t="s">
        <v>64</v>
      </c>
      <c r="C15" s="83" t="str">
        <f t="shared" si="0"/>
        <v>FIBRA</v>
      </c>
    </row>
    <row r="16" spans="1:6" x14ac:dyDescent="0.3">
      <c r="A16" t="s">
        <v>83</v>
      </c>
      <c r="B16" t="s">
        <v>82</v>
      </c>
      <c r="C16" s="83" t="str">
        <f t="shared" si="0"/>
        <v>FIBRA</v>
      </c>
    </row>
    <row r="17" spans="1:3" x14ac:dyDescent="0.3">
      <c r="A17" t="s">
        <v>277</v>
      </c>
      <c r="B17" t="s">
        <v>64</v>
      </c>
      <c r="C17" s="83" t="str">
        <f t="shared" si="0"/>
        <v>FIBRA</v>
      </c>
    </row>
    <row r="18" spans="1:3" x14ac:dyDescent="0.3">
      <c r="A18" t="s">
        <v>195</v>
      </c>
      <c r="B18" t="s">
        <v>82</v>
      </c>
      <c r="C18" s="83" t="str">
        <f t="shared" si="0"/>
        <v>FIBRA</v>
      </c>
    </row>
    <row r="19" spans="1:3" x14ac:dyDescent="0.3">
      <c r="A19" t="s">
        <v>51</v>
      </c>
      <c r="B19" t="s">
        <v>82</v>
      </c>
      <c r="C19" s="83" t="str">
        <f t="shared" si="0"/>
        <v>FIBRA</v>
      </c>
    </row>
    <row r="20" spans="1:3" x14ac:dyDescent="0.3">
      <c r="A20" t="s">
        <v>138</v>
      </c>
      <c r="B20" t="s">
        <v>82</v>
      </c>
      <c r="C20" s="83" t="str">
        <f t="shared" si="0"/>
        <v>FIBRA</v>
      </c>
    </row>
    <row r="21" spans="1:3" x14ac:dyDescent="0.3">
      <c r="A21" t="s">
        <v>109</v>
      </c>
      <c r="B21" t="s">
        <v>64</v>
      </c>
      <c r="C21" s="83" t="str">
        <f t="shared" si="0"/>
        <v>FIBRA</v>
      </c>
    </row>
    <row r="22" spans="1:3" x14ac:dyDescent="0.3">
      <c r="A22" t="s">
        <v>127</v>
      </c>
      <c r="B22" t="s">
        <v>82</v>
      </c>
      <c r="C22" s="83" t="str">
        <f t="shared" si="0"/>
        <v>FIBRA</v>
      </c>
    </row>
    <row r="23" spans="1:3" x14ac:dyDescent="0.3">
      <c r="A23" t="s">
        <v>232</v>
      </c>
      <c r="B23" t="s">
        <v>82</v>
      </c>
      <c r="C23" s="83" t="str">
        <f t="shared" si="0"/>
        <v>FIBRA</v>
      </c>
    </row>
    <row r="24" spans="1:3" x14ac:dyDescent="0.3">
      <c r="A24" t="s">
        <v>295</v>
      </c>
      <c r="B24" t="s">
        <v>149</v>
      </c>
      <c r="C24" s="83" t="str">
        <f t="shared" si="0"/>
        <v>COBRE</v>
      </c>
    </row>
    <row r="25" spans="1:3" x14ac:dyDescent="0.3">
      <c r="A25" t="s">
        <v>136</v>
      </c>
      <c r="B25" t="s">
        <v>82</v>
      </c>
      <c r="C25" s="83" t="str">
        <f t="shared" si="0"/>
        <v>FIBRA</v>
      </c>
    </row>
    <row r="26" spans="1:3" x14ac:dyDescent="0.3">
      <c r="A26" t="s">
        <v>128</v>
      </c>
      <c r="B26" t="s">
        <v>82</v>
      </c>
      <c r="C26" s="83" t="str">
        <f t="shared" si="0"/>
        <v>FIBRA</v>
      </c>
    </row>
    <row r="27" spans="1:3" x14ac:dyDescent="0.3">
      <c r="A27" t="s">
        <v>128</v>
      </c>
      <c r="B27" t="s">
        <v>64</v>
      </c>
      <c r="C27" s="83" t="str">
        <f t="shared" si="0"/>
        <v>FIBRA</v>
      </c>
    </row>
    <row r="28" spans="1:3" x14ac:dyDescent="0.3">
      <c r="A28" t="s">
        <v>226</v>
      </c>
      <c r="B28" t="s">
        <v>64</v>
      </c>
      <c r="C28" s="83" t="str">
        <f t="shared" si="0"/>
        <v>FIBRA</v>
      </c>
    </row>
    <row r="29" spans="1:3" x14ac:dyDescent="0.3">
      <c r="A29" t="s">
        <v>132</v>
      </c>
      <c r="B29" t="s">
        <v>82</v>
      </c>
      <c r="C29" s="83" t="str">
        <f t="shared" si="0"/>
        <v>FIBRA</v>
      </c>
    </row>
    <row r="30" spans="1:3" x14ac:dyDescent="0.3">
      <c r="A30" t="s">
        <v>234</v>
      </c>
      <c r="B30" t="s">
        <v>82</v>
      </c>
      <c r="C30" s="83" t="str">
        <f t="shared" si="0"/>
        <v>FIBRA</v>
      </c>
    </row>
    <row r="31" spans="1:3" x14ac:dyDescent="0.3">
      <c r="A31" t="s">
        <v>234</v>
      </c>
      <c r="B31" t="s">
        <v>64</v>
      </c>
      <c r="C31" s="83" t="str">
        <f t="shared" si="0"/>
        <v>FIBRA</v>
      </c>
    </row>
    <row r="32" spans="1:3" x14ac:dyDescent="0.3">
      <c r="A32" t="s">
        <v>100</v>
      </c>
      <c r="B32" t="s">
        <v>149</v>
      </c>
      <c r="C32" s="83" t="str">
        <f t="shared" si="0"/>
        <v>COBRE</v>
      </c>
    </row>
    <row r="33" spans="1:3" x14ac:dyDescent="0.3">
      <c r="A33" t="s">
        <v>211</v>
      </c>
      <c r="B33" t="s">
        <v>149</v>
      </c>
      <c r="C33" s="83" t="str">
        <f t="shared" si="0"/>
        <v>COBRE</v>
      </c>
    </row>
    <row r="34" spans="1:3" x14ac:dyDescent="0.3">
      <c r="A34" t="s">
        <v>177</v>
      </c>
      <c r="B34" t="s">
        <v>82</v>
      </c>
      <c r="C34" s="83" t="str">
        <f t="shared" si="0"/>
        <v>FIBRA</v>
      </c>
    </row>
    <row r="35" spans="1:3" x14ac:dyDescent="0.3">
      <c r="A35" t="s">
        <v>220</v>
      </c>
      <c r="B35" t="s">
        <v>149</v>
      </c>
      <c r="C35" s="83" t="str">
        <f t="shared" si="0"/>
        <v>COBRE</v>
      </c>
    </row>
    <row r="36" spans="1:3" x14ac:dyDescent="0.3">
      <c r="A36" t="s">
        <v>289</v>
      </c>
      <c r="B36" t="s">
        <v>64</v>
      </c>
      <c r="C36" s="83" t="str">
        <f t="shared" ref="C36:C64" si="1">VLOOKUP(B36,$E$4:$F$8,2,)</f>
        <v>FIBRA</v>
      </c>
    </row>
    <row r="37" spans="1:3" x14ac:dyDescent="0.3">
      <c r="A37" t="s">
        <v>148</v>
      </c>
      <c r="B37" t="s">
        <v>64</v>
      </c>
      <c r="C37" s="83" t="str">
        <f t="shared" si="1"/>
        <v>FIBRA</v>
      </c>
    </row>
    <row r="38" spans="1:3" x14ac:dyDescent="0.3">
      <c r="A38" t="s">
        <v>159</v>
      </c>
      <c r="B38" t="s">
        <v>64</v>
      </c>
      <c r="C38" s="83" t="str">
        <f t="shared" si="1"/>
        <v>FIBRA</v>
      </c>
    </row>
    <row r="39" spans="1:3" x14ac:dyDescent="0.3">
      <c r="A39" t="s">
        <v>165</v>
      </c>
      <c r="B39" t="s">
        <v>64</v>
      </c>
      <c r="C39" s="83" t="str">
        <f t="shared" si="1"/>
        <v>FIBRA</v>
      </c>
    </row>
    <row r="40" spans="1:3" x14ac:dyDescent="0.3">
      <c r="A40" t="s">
        <v>157</v>
      </c>
      <c r="B40" t="s">
        <v>64</v>
      </c>
      <c r="C40" s="83" t="str">
        <f t="shared" si="1"/>
        <v>FIBRA</v>
      </c>
    </row>
    <row r="41" spans="1:3" x14ac:dyDescent="0.3">
      <c r="A41" t="s">
        <v>93</v>
      </c>
      <c r="B41" t="s">
        <v>64</v>
      </c>
      <c r="C41" s="83" t="str">
        <f t="shared" si="1"/>
        <v>FIBRA</v>
      </c>
    </row>
    <row r="42" spans="1:3" x14ac:dyDescent="0.3">
      <c r="A42" t="s">
        <v>162</v>
      </c>
      <c r="B42" t="s">
        <v>64</v>
      </c>
      <c r="C42" s="83" t="str">
        <f t="shared" si="1"/>
        <v>FIBRA</v>
      </c>
    </row>
    <row r="43" spans="1:3" x14ac:dyDescent="0.3">
      <c r="A43" t="s">
        <v>125</v>
      </c>
      <c r="B43" t="s">
        <v>82</v>
      </c>
      <c r="C43" s="83" t="str">
        <f t="shared" si="1"/>
        <v>FIBRA</v>
      </c>
    </row>
    <row r="44" spans="1:3" x14ac:dyDescent="0.3">
      <c r="A44" t="s">
        <v>125</v>
      </c>
      <c r="B44" t="s">
        <v>64</v>
      </c>
      <c r="C44" s="83" t="str">
        <f t="shared" si="1"/>
        <v>FIBRA</v>
      </c>
    </row>
    <row r="45" spans="1:3" x14ac:dyDescent="0.3">
      <c r="A45" t="s">
        <v>66</v>
      </c>
      <c r="B45" t="s">
        <v>98</v>
      </c>
      <c r="C45" s="83" t="str">
        <f t="shared" si="1"/>
        <v>COBRE</v>
      </c>
    </row>
    <row r="46" spans="1:3" x14ac:dyDescent="0.3">
      <c r="A46" t="s">
        <v>66</v>
      </c>
      <c r="B46" t="s">
        <v>82</v>
      </c>
      <c r="C46" s="83" t="str">
        <f t="shared" si="1"/>
        <v>FIBRA</v>
      </c>
    </row>
    <row r="47" spans="1:3" x14ac:dyDescent="0.3">
      <c r="A47" t="s">
        <v>66</v>
      </c>
      <c r="B47" t="s">
        <v>64</v>
      </c>
      <c r="C47" s="83" t="str">
        <f t="shared" si="1"/>
        <v>FIBRA</v>
      </c>
    </row>
    <row r="48" spans="1:3" x14ac:dyDescent="0.3">
      <c r="A48" t="s">
        <v>143</v>
      </c>
      <c r="B48" t="s">
        <v>82</v>
      </c>
      <c r="C48" s="83" t="str">
        <f t="shared" si="1"/>
        <v>FIBRA</v>
      </c>
    </row>
    <row r="49" spans="1:3" x14ac:dyDescent="0.3">
      <c r="A49" t="s">
        <v>85</v>
      </c>
      <c r="B49" t="s">
        <v>82</v>
      </c>
      <c r="C49" s="83" t="str">
        <f t="shared" si="1"/>
        <v>FIBRA</v>
      </c>
    </row>
    <row r="50" spans="1:3" x14ac:dyDescent="0.3">
      <c r="A50" t="s">
        <v>85</v>
      </c>
      <c r="B50" t="s">
        <v>64</v>
      </c>
      <c r="C50" s="83" t="str">
        <f t="shared" si="1"/>
        <v>FIBRA</v>
      </c>
    </row>
    <row r="51" spans="1:3" x14ac:dyDescent="0.3">
      <c r="A51" t="s">
        <v>87</v>
      </c>
      <c r="B51" t="s">
        <v>82</v>
      </c>
      <c r="C51" s="83" t="str">
        <f t="shared" si="1"/>
        <v>FIBRA</v>
      </c>
    </row>
    <row r="52" spans="1:3" x14ac:dyDescent="0.3">
      <c r="A52" t="s">
        <v>131</v>
      </c>
      <c r="B52" t="s">
        <v>82</v>
      </c>
      <c r="C52" s="83" t="str">
        <f t="shared" si="1"/>
        <v>FIBRA</v>
      </c>
    </row>
    <row r="53" spans="1:3" x14ac:dyDescent="0.3">
      <c r="A53" t="s">
        <v>215</v>
      </c>
      <c r="B53" t="s">
        <v>82</v>
      </c>
      <c r="C53" s="83" t="str">
        <f t="shared" si="1"/>
        <v>FIBRA</v>
      </c>
    </row>
    <row r="54" spans="1:3" x14ac:dyDescent="0.3">
      <c r="A54" t="s">
        <v>133</v>
      </c>
      <c r="B54" t="s">
        <v>82</v>
      </c>
      <c r="C54" s="83" t="str">
        <f t="shared" si="1"/>
        <v>FIBRA</v>
      </c>
    </row>
    <row r="55" spans="1:3" x14ac:dyDescent="0.3">
      <c r="A55" t="s">
        <v>286</v>
      </c>
      <c r="B55" t="s">
        <v>149</v>
      </c>
      <c r="C55" s="83" t="str">
        <f t="shared" si="1"/>
        <v>COBRE</v>
      </c>
    </row>
    <row r="56" spans="1:3" x14ac:dyDescent="0.3">
      <c r="A56" t="s">
        <v>229</v>
      </c>
      <c r="B56" t="s">
        <v>98</v>
      </c>
      <c r="C56" s="83" t="str">
        <f t="shared" si="1"/>
        <v>COBRE</v>
      </c>
    </row>
    <row r="57" spans="1:3" x14ac:dyDescent="0.3">
      <c r="A57" t="s">
        <v>150</v>
      </c>
      <c r="B57" t="s">
        <v>149</v>
      </c>
      <c r="C57" s="83" t="str">
        <f t="shared" si="1"/>
        <v>COBRE</v>
      </c>
    </row>
    <row r="58" spans="1:3" x14ac:dyDescent="0.3">
      <c r="A58" t="s">
        <v>184</v>
      </c>
      <c r="B58" t="s">
        <v>82</v>
      </c>
      <c r="C58" s="83" t="str">
        <f t="shared" si="1"/>
        <v>FIBRA</v>
      </c>
    </row>
    <row r="59" spans="1:3" x14ac:dyDescent="0.3">
      <c r="A59" t="s">
        <v>184</v>
      </c>
      <c r="B59" t="s">
        <v>64</v>
      </c>
      <c r="C59" s="83" t="str">
        <f t="shared" si="1"/>
        <v>FIBRA</v>
      </c>
    </row>
    <row r="60" spans="1:3" x14ac:dyDescent="0.3">
      <c r="A60" t="s">
        <v>251</v>
      </c>
      <c r="B60" t="s">
        <v>82</v>
      </c>
      <c r="C60" s="83" t="str">
        <f t="shared" si="1"/>
        <v>FIBRA</v>
      </c>
    </row>
    <row r="61" spans="1:3" x14ac:dyDescent="0.3">
      <c r="A61" t="s">
        <v>265</v>
      </c>
      <c r="B61" t="s">
        <v>64</v>
      </c>
      <c r="C61" s="83" t="str">
        <f t="shared" si="1"/>
        <v>FIBRA</v>
      </c>
    </row>
    <row r="62" spans="1:3" x14ac:dyDescent="0.3">
      <c r="A62" t="s">
        <v>266</v>
      </c>
      <c r="B62" t="s">
        <v>188</v>
      </c>
      <c r="C62" s="83" t="str">
        <f t="shared" si="1"/>
        <v>COBRE</v>
      </c>
    </row>
    <row r="63" spans="1:3" x14ac:dyDescent="0.3">
      <c r="A63" t="s">
        <v>266</v>
      </c>
      <c r="B63" t="s">
        <v>64</v>
      </c>
      <c r="C63" s="83" t="str">
        <f t="shared" si="1"/>
        <v>FIBRA</v>
      </c>
    </row>
    <row r="64" spans="1:3" x14ac:dyDescent="0.3">
      <c r="A64" t="s">
        <v>299</v>
      </c>
      <c r="B64" t="s">
        <v>64</v>
      </c>
      <c r="C64" s="83" t="str">
        <f t="shared" si="1"/>
        <v>FIBRA</v>
      </c>
    </row>
    <row r="65" spans="1:3" x14ac:dyDescent="0.3">
      <c r="A65" s="17" t="s">
        <v>315</v>
      </c>
      <c r="B65" s="17"/>
      <c r="C65" s="84"/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B19360EFE84944A3390DA60A90422F" ma:contentTypeVersion="13" ma:contentTypeDescription="Create a new document." ma:contentTypeScope="" ma:versionID="11542ff5ee3745e44d387e3d102f52d4">
  <xsd:schema xmlns:xsd="http://www.w3.org/2001/XMLSchema" xmlns:xs="http://www.w3.org/2001/XMLSchema" xmlns:p="http://schemas.microsoft.com/office/2006/metadata/properties" xmlns:ns3="7afecceb-157f-4d6c-8e49-691ea3c62185" xmlns:ns4="51805bbe-0d4d-42d9-a82b-8baa277edca1" targetNamespace="http://schemas.microsoft.com/office/2006/metadata/properties" ma:root="true" ma:fieldsID="113c716b22287a0e2a7d53fd01af45ad" ns3:_="" ns4:_="">
    <xsd:import namespace="7afecceb-157f-4d6c-8e49-691ea3c62185"/>
    <xsd:import namespace="51805bbe-0d4d-42d9-a82b-8baa277edc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fecceb-157f-4d6c-8e49-691ea3c621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05bbe-0d4d-42d9-a82b-8baa277ed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2AAF89-290A-46B0-B763-BC46ACEFA63B}">
  <ds:schemaRefs>
    <ds:schemaRef ds:uri="http://schemas.openxmlformats.org/package/2006/metadata/core-properties"/>
    <ds:schemaRef ds:uri="http://purl.org/dc/elements/1.1/"/>
    <ds:schemaRef ds:uri="7afecceb-157f-4d6c-8e49-691ea3c62185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51805bbe-0d4d-42d9-a82b-8baa277edca1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9997D2D-B978-40CD-979B-B03CFAD99C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fecceb-157f-4d6c-8e49-691ea3c62185"/>
    <ds:schemaRef ds:uri="51805bbe-0d4d-42d9-a82b-8baa277ed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52F0DC-546E-47EC-AB5C-78A43A4F83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INTERNO</vt:lpstr>
      <vt:lpstr>TB_1</vt:lpstr>
      <vt:lpstr>HV Equipos</vt:lpstr>
      <vt:lpstr>Equipos medición</vt:lpstr>
      <vt:lpstr>Marca</vt:lpstr>
      <vt:lpstr>Funcionalidad</vt:lpstr>
      <vt:lpstr>Funcionalidad x Tipo 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 MUÑOZ GARRIDO</dc:creator>
  <cp:lastModifiedBy>CARLOS JAVIER DIAZ HERNANDEZ</cp:lastModifiedBy>
  <dcterms:created xsi:type="dcterms:W3CDTF">2021-03-10T21:25:41Z</dcterms:created>
  <dcterms:modified xsi:type="dcterms:W3CDTF">2021-05-06T20:14:34Z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0x01010009B19360EFE84944A3390DA60A90422F</vt:lpwstr>
  </property>
</Properties>
</file>